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Dhika Ramadhan Saputra\Data Analist\Full Project\Dashboard penjualan dan pengadaan barang sembako\"/>
    </mc:Choice>
  </mc:AlternateContent>
  <xr:revisionPtr revIDLastSave="0" documentId="13_ncr:1_{9384BC60-B98A-4E66-8B4F-19A25BAE484D}" xr6:coauthVersionLast="47" xr6:coauthVersionMax="47" xr10:uidLastSave="{00000000-0000-0000-0000-000000000000}"/>
  <bookViews>
    <workbookView xWindow="-108" yWindow="-108" windowWidth="23256" windowHeight="12456" firstSheet="3" activeTab="6" xr2:uid="{927C8885-A73E-43AE-8FA6-B439C37632A9}"/>
  </bookViews>
  <sheets>
    <sheet name="pengadaan barang" sheetId="2" r:id="rId1"/>
    <sheet name="penjualan barang" sheetId="3" r:id="rId2"/>
    <sheet name="Master Barang" sheetId="13" r:id="rId3"/>
    <sheet name="Master Pembeli" sheetId="14" r:id="rId4"/>
    <sheet name="Master Calendar" sheetId="9" r:id="rId5"/>
    <sheet name="Pivot" sheetId="5" r:id="rId6"/>
    <sheet name="Dashboard" sheetId="15" r:id="rId7"/>
  </sheets>
  <definedNames>
    <definedName name="_xlcn.WorksheetConnection_PengadaanPenjualanBarangSembako.xlsxMaster_Barang1" hidden="1">Master_Barang[]</definedName>
    <definedName name="_xlcn.WorksheetConnection_PengadaanPenjualanBarangSembako.xlsxMaster_Calendar1" hidden="1">Master_Calendar[]</definedName>
    <definedName name="_xlcn.WorksheetConnection_PengadaanPenjualanBarangSembako.xlsxMaster_Pembeli1" hidden="1">Master_Pembeli[]</definedName>
    <definedName name="_xlcn.WorksheetConnection_PengadaanPenjualanBarangSembako.xlsxpengadaan_barang1" hidden="1">pengadaan_barang[]</definedName>
    <definedName name="_xlcn.WorksheetConnection_PengadaanPenjualanBarangSembako.xlsxpenjualan_barang1" hidden="1">penjualan_barang[]</definedName>
    <definedName name="ExternalData_1" localSheetId="4" hidden="1">'Master Calendar'!$A$1:$A$2792</definedName>
    <definedName name="ExternalData_1" localSheetId="0" hidden="1">'pengadaan barang'!$A$1:$C$64</definedName>
    <definedName name="ExternalData_1" localSheetId="1" hidden="1">'penjualan barang'!$A$1:$E$1290</definedName>
    <definedName name="ExternalData_2" localSheetId="3" hidden="1">'Master Pembeli'!$A$1:$A$172</definedName>
    <definedName name="ExternalData_3" localSheetId="2" hidden="1">'Master Barang'!$A$1:$A$6</definedName>
    <definedName name="Slicer_nama.barang">#N/A</definedName>
    <definedName name="Slicer_tanggal__Quarter">#N/A</definedName>
    <definedName name="Slicer_tanggal__Year">#N/A</definedName>
  </definedNames>
  <calcPr calcId="191029"/>
  <pivotCaches>
    <pivotCache cacheId="471" r:id="rId8"/>
    <pivotCache cacheId="474" r:id="rId9"/>
    <pivotCache cacheId="477" r:id="rId10"/>
    <pivotCache cacheId="486" r:id="rId11"/>
    <pivotCache cacheId="696" r:id="rId12"/>
    <pivotCache cacheId="699" r:id="rId13"/>
    <pivotCache cacheId="702" r:id="rId14"/>
    <pivotCache cacheId="705" r:id="rId15"/>
    <pivotCache cacheId="708" r:id="rId16"/>
    <pivotCache cacheId="711" r:id="rId17"/>
  </pivotCaches>
  <extLst>
    <ext xmlns:x14="http://schemas.microsoft.com/office/spreadsheetml/2009/9/main" uri="{876F7934-8845-4945-9796-88D515C7AA90}">
      <x14:pivotCaches>
        <pivotCache cacheId="467" r:id="rId18"/>
        <pivotCache cacheId="468"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njualan_barang" name="penjualan_barang" connection="WorksheetConnection_Pengadaan &amp; Penjualan Barang Sembako.xlsx!penjualan_barang"/>
          <x15:modelTable id="pengadaan_barang" name="pengadaan_barang" connection="WorksheetConnection_Pengadaan &amp; Penjualan Barang Sembako.xlsx!pengadaan_barang"/>
          <x15:modelTable id="Master_Pembeli" name="Master_Pembeli" connection="WorksheetConnection_Pengadaan &amp; Penjualan Barang Sembako.xlsx!Master_Pembeli"/>
          <x15:modelTable id="Master_Calendar" name="Master_Calendar" connection="WorksheetConnection_Pengadaan &amp; Penjualan Barang Sembako.xlsx!Master_Calendar"/>
          <x15:modelTable id="Master_Barang" name="Master_Barang" connection="WorksheetConnection_Pengadaan &amp; Penjualan Barang Sembako.xlsx!Master_Barang"/>
        </x15:modelTables>
        <x15:modelRelationships>
          <x15:modelRelationship fromTable="penjualan_barang" fromColumn="tanggal" toTable="Master_Calendar" toColumn="tanggal"/>
          <x15:modelRelationship fromTable="penjualan_barang" fromColumn="nama.barang" toTable="Master_Barang" toColumn="nama.barang"/>
          <x15:modelRelationship fromTable="penjualan_barang" fromColumn="nama.pembeli" toTable="Master_Pembeli" toColumn="nama.pembeli"/>
          <x15:modelRelationship fromTable="pengadaan_barang" fromColumn="tanggal" toTable="Master_Calendar" toColumn="tanggal"/>
          <x15:modelRelationship fromTable="pengadaan_barang" fromColumn="nama.barang" toTable="Master_Barang" toColumn="nama.barang"/>
        </x15:modelRelationships>
        <x15:extLst>
          <ext xmlns:x16="http://schemas.microsoft.com/office/spreadsheetml/2014/11/main" uri="{9835A34E-60A6-4A7C-AAB8-D5F71C897F49}">
            <x16:modelTimeGroupings>
              <x16:modelTimeGrouping tableName="penjualan_barang" columnName="tanggal" columnId="tanggal">
                <x16:calculatedTimeColumn columnName="tanggal (Year)" columnId="tanggal (Year)" contentType="years" isSelected="1"/>
                <x16:calculatedTimeColumn columnName="tanggal (Quarter)" columnId="tanggal (Quarter)" contentType="quarters" isSelected="1"/>
                <x16:calculatedTimeColumn columnName="tanggal (Month Index)" columnId="tanggal (Month Index)" contentType="monthsindex" isSelected="1"/>
                <x16:calculatedTimeColumn columnName="tanggal (Month)" columnId="tanggal (Month)" contentType="months" isSelected="1"/>
              </x16:modelTimeGrouping>
              <x16:modelTimeGrouping tableName="Master_Calendar" columnName="tanggal" columnId="tanggal">
                <x16:calculatedTimeColumn columnName="tanggal (Year)" columnId="tanggal (Year)" contentType="years" isSelected="1"/>
                <x16:calculatedTimeColumn columnName="tanggal (Quarter)" columnId="tanggal (Quarter)" contentType="quarters" isSelected="1"/>
                <x16:calculatedTimeColumn columnName="tanggal (Month Index)" columnId="tanggal (Month Index)" contentType="monthsindex" isSelected="1"/>
                <x16:calculatedTimeColumn columnName="tanggal (Month)" columnId="tangga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2" i="5" l="1"/>
  <c r="B86" i="5"/>
  <c r="B90" i="5"/>
  <c r="B78" i="5"/>
  <c r="D84"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823C49-0D95-4C7B-905C-C87A3C6F8FB7}" keepAlive="1" name="Query - Master Barang" description="Connection to the 'Master Barang' query in the workbook." type="5" refreshedVersion="8" background="1" saveData="1">
    <dbPr connection="Provider=Microsoft.Mashup.OleDb.1;Data Source=$Workbook$;Location=&quot;Master Barang&quot;;Extended Properties=&quot;&quot;" command="SELECT * FROM [Master Barang]"/>
  </connection>
  <connection id="2" xr16:uid="{781C24FC-97FE-4089-B6D0-697E22E896C4}" keepAlive="1" name="Query - Master Calendar" description="Connection to the 'Master Calendar' query in the workbook." type="5" refreshedVersion="8" background="1" saveData="1">
    <dbPr connection="Provider=Microsoft.Mashup.OleDb.1;Data Source=$Workbook$;Location=&quot;Master Calendar&quot;;Extended Properties=&quot;&quot;" command="SELECT * FROM [Master Calendar]"/>
  </connection>
  <connection id="3" xr16:uid="{3AF6F60B-6C32-41BE-BDBF-722CF1FB0974}" keepAlive="1" name="Query - Master Pembeli" description="Connection to the 'Master Pembeli' query in the workbook." type="5" refreshedVersion="8" background="1" saveData="1">
    <dbPr connection="Provider=Microsoft.Mashup.OleDb.1;Data Source=$Workbook$;Location=&quot;Master Pembeli&quot;;Extended Properties=&quot;&quot;" command="SELECT * FROM [Master Pembeli]"/>
  </connection>
  <connection id="4" xr16:uid="{7BAB92F3-BEF2-4F0F-8F3E-287E0346CF00}" keepAlive="1" name="Query - pengadaan barang" description="Connection to the 'pengadaan barang' query in the workbook." type="5" refreshedVersion="8" background="1" saveData="1">
    <dbPr connection="Provider=Microsoft.Mashup.OleDb.1;Data Source=$Workbook$;Location=&quot;pengadaan barang&quot;;Extended Properties=&quot;&quot;" command="SELECT * FROM [pengadaan barang]"/>
  </connection>
  <connection id="5" xr16:uid="{56F12BAE-EDA5-4750-9381-AAE8038893B5}" keepAlive="1" name="Query - penjualan barang" description="Connection to the 'penjualan barang' query in the workbook." type="5" refreshedVersion="8" background="1" saveData="1">
    <dbPr connection="Provider=Microsoft.Mashup.OleDb.1;Data Source=$Workbook$;Location=&quot;penjualan barang&quot;;Extended Properties=&quot;&quot;" command="SELECT * FROM [penjualan barang]"/>
  </connection>
  <connection id="6" xr16:uid="{0EF169E4-AC7E-4FDC-94D3-3ECD964490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E5E9A6E0-A344-4B9B-8372-742FDCD11961}" name="WorksheetConnection_Pengadaan &amp; Penjualan Barang Sembako.xlsx!Master_Barang" type="102" refreshedVersion="8" minRefreshableVersion="5">
    <extLst>
      <ext xmlns:x15="http://schemas.microsoft.com/office/spreadsheetml/2010/11/main" uri="{DE250136-89BD-433C-8126-D09CA5730AF9}">
        <x15:connection id="Master_Barang">
          <x15:rangePr sourceName="_xlcn.WorksheetConnection_PengadaanPenjualanBarangSembako.xlsxMaster_Barang1"/>
        </x15:connection>
      </ext>
    </extLst>
  </connection>
  <connection id="8" xr16:uid="{0DA180B9-5969-412D-8BA9-5AAD14D417DA}" name="WorksheetConnection_Pengadaan &amp; Penjualan Barang Sembako.xlsx!Master_Calendar" type="102" refreshedVersion="8" minRefreshableVersion="5">
    <extLst>
      <ext xmlns:x15="http://schemas.microsoft.com/office/spreadsheetml/2010/11/main" uri="{DE250136-89BD-433C-8126-D09CA5730AF9}">
        <x15:connection id="Master_Calendar">
          <x15:rangePr sourceName="_xlcn.WorksheetConnection_PengadaanPenjualanBarangSembako.xlsxMaster_Calendar1"/>
        </x15:connection>
      </ext>
    </extLst>
  </connection>
  <connection id="9" xr16:uid="{A0511C43-DAAF-446B-9BFA-CE738EAE1214}" name="WorksheetConnection_Pengadaan &amp; Penjualan Barang Sembako.xlsx!Master_Pembeli" type="102" refreshedVersion="8" minRefreshableVersion="5">
    <extLst>
      <ext xmlns:x15="http://schemas.microsoft.com/office/spreadsheetml/2010/11/main" uri="{DE250136-89BD-433C-8126-D09CA5730AF9}">
        <x15:connection id="Master_Pembeli">
          <x15:rangePr sourceName="_xlcn.WorksheetConnection_PengadaanPenjualanBarangSembako.xlsxMaster_Pembeli1"/>
        </x15:connection>
      </ext>
    </extLst>
  </connection>
  <connection id="10" xr16:uid="{D1EDC101-E939-4A9C-BCA2-47B6A457C77B}" name="WorksheetConnection_Pengadaan &amp; Penjualan Barang Sembako.xlsx!pengadaan_barang" type="102" refreshedVersion="8" minRefreshableVersion="5">
    <extLst>
      <ext xmlns:x15="http://schemas.microsoft.com/office/spreadsheetml/2010/11/main" uri="{DE250136-89BD-433C-8126-D09CA5730AF9}">
        <x15:connection id="pengadaan_barang">
          <x15:rangePr sourceName="_xlcn.WorksheetConnection_PengadaanPenjualanBarangSembako.xlsxpengadaan_barang1"/>
        </x15:connection>
      </ext>
    </extLst>
  </connection>
  <connection id="11" xr16:uid="{C9C683F6-9E0A-463D-87CC-801CA8A343CD}" name="WorksheetConnection_Pengadaan &amp; Penjualan Barang Sembako.xlsx!penjualan_barang" type="102" refreshedVersion="8" minRefreshableVersion="5">
    <extLst>
      <ext xmlns:x15="http://schemas.microsoft.com/office/spreadsheetml/2010/11/main" uri="{DE250136-89BD-433C-8126-D09CA5730AF9}">
        <x15:connection id="penjualan_barang" autoDelete="1">
          <x15:rangePr sourceName="_xlcn.WorksheetConnection_PengadaanPenjualanBarangSembako.xlsxpenjualan_barang1"/>
        </x15:connection>
      </ext>
    </extLst>
  </connection>
</connections>
</file>

<file path=xl/sharedStrings.xml><?xml version="1.0" encoding="utf-8"?>
<sst xmlns="http://schemas.openxmlformats.org/spreadsheetml/2006/main" count="2939" uniqueCount="223">
  <si>
    <t>tanggal</t>
  </si>
  <si>
    <t>nama.barang</t>
  </si>
  <si>
    <t>kuantum</t>
  </si>
  <si>
    <t>GULA</t>
  </si>
  <si>
    <t>BERAS</t>
  </si>
  <si>
    <t>DAGING</t>
  </si>
  <si>
    <t>MIGOR</t>
  </si>
  <si>
    <t>TEPUNG</t>
  </si>
  <si>
    <t>nama.pembeli</t>
  </si>
  <si>
    <t>nominal</t>
  </si>
  <si>
    <t>TOKO HERUNIAWATI</t>
  </si>
  <si>
    <t>TOKO APRILIA SUKRISNI</t>
  </si>
  <si>
    <t>TOKO MAJU TERUS</t>
  </si>
  <si>
    <t>KOPERASI BRI MELAWI</t>
  </si>
  <si>
    <t>TOKO DEB</t>
  </si>
  <si>
    <t>TOKO FATHULLAH ZIKRI</t>
  </si>
  <si>
    <t>TOKO FAHRI</t>
  </si>
  <si>
    <t>TOKO KEDAI YUDA</t>
  </si>
  <si>
    <t>TOKO KOPERASI KONSUMEN SYARIAH BERKAH BERSEMI</t>
  </si>
  <si>
    <t>TOKO SUPER STOCK</t>
  </si>
  <si>
    <t>TOKO MUNIR</t>
  </si>
  <si>
    <t>TOKO KARYA BINJAI</t>
  </si>
  <si>
    <t>KARUNIA</t>
  </si>
  <si>
    <t>TOKO REVAN</t>
  </si>
  <si>
    <t>TOKO DOA IBU</t>
  </si>
  <si>
    <t>SAHABAT ANDA</t>
  </si>
  <si>
    <t>TOKO AQIL</t>
  </si>
  <si>
    <t>TOKO ABIZAR</t>
  </si>
  <si>
    <t>ANDY</t>
  </si>
  <si>
    <t>TOKO IFAL</t>
  </si>
  <si>
    <t>TOKO HIDAYAH</t>
  </si>
  <si>
    <t>TOKO BERKAH DUA PUTRA</t>
  </si>
  <si>
    <t>TOKO WARUNG SANTI</t>
  </si>
  <si>
    <t>TOKO BUMDES USAHA JAYA BERSAMA</t>
  </si>
  <si>
    <t>TPK PASAR JUNJUNG BUIH</t>
  </si>
  <si>
    <t>RUDIMAS</t>
  </si>
  <si>
    <t>TOKO BUNGUR</t>
  </si>
  <si>
    <t>TOKO BUMDES TERTUNG</t>
  </si>
  <si>
    <t>TOKO RIZKI SAKYAH</t>
  </si>
  <si>
    <t>TOKO RAHMAD</t>
  </si>
  <si>
    <t>TOKO SUKA SUKA</t>
  </si>
  <si>
    <t>TOKO YOGI</t>
  </si>
  <si>
    <t>TOKO IRVA</t>
  </si>
  <si>
    <t>TOKO TOPIN</t>
  </si>
  <si>
    <t>TOKO DHEMA</t>
  </si>
  <si>
    <t>TOKO BERKAT USAHA</t>
  </si>
  <si>
    <t>TOKO. M. FAHRIZA</t>
  </si>
  <si>
    <t>MEKAR SARI</t>
  </si>
  <si>
    <t>YAYASAN KESEJAHTERAAN PEGAWAI (YKP) BNI</t>
  </si>
  <si>
    <t>ANAPSA</t>
  </si>
  <si>
    <t>TOKO BU YULI</t>
  </si>
  <si>
    <t>TOKO SIDAK</t>
  </si>
  <si>
    <t>TOKO ANUGRAH</t>
  </si>
  <si>
    <t>TOKO CHALLISTA</t>
  </si>
  <si>
    <t>TOKO ASSYAKIRIN</t>
  </si>
  <si>
    <t>TOKO LANSIA</t>
  </si>
  <si>
    <t>TOKO KOTABARU</t>
  </si>
  <si>
    <t>TOKO SULASTRI AGUSTINI</t>
  </si>
  <si>
    <t>TOKO KINORA</t>
  </si>
  <si>
    <t>TOKO ENGKON</t>
  </si>
  <si>
    <t>HOLIDAY MART</t>
  </si>
  <si>
    <t>TOKO SUPARNO (SMS)</t>
  </si>
  <si>
    <t>TOKO APO</t>
  </si>
  <si>
    <t>TOKO SUYONO (BINTANG KAPUAS)</t>
  </si>
  <si>
    <t>TOKO JAYA SENTOSA</t>
  </si>
  <si>
    <t>TOKO AMI</t>
  </si>
  <si>
    <t>TOKO SYAMSUDIN (INTAN MART)</t>
  </si>
  <si>
    <t>TOKO M. DJAFARI (AFAR 99)</t>
  </si>
  <si>
    <t>TOKO BAS JAYA</t>
  </si>
  <si>
    <t>TOKO ALIKA</t>
  </si>
  <si>
    <t>TOKO ARDO</t>
  </si>
  <si>
    <t>TOKO ALIF</t>
  </si>
  <si>
    <t>TOKO SYUHAINI</t>
  </si>
  <si>
    <t>TOKO AIDI K.</t>
  </si>
  <si>
    <t>TOKO HANAFI</t>
  </si>
  <si>
    <t>TOKO ADELA</t>
  </si>
  <si>
    <t>TOKO DEDES</t>
  </si>
  <si>
    <t>TOKO YUSMAN DABU</t>
  </si>
  <si>
    <t>TOKO NURJANAH</t>
  </si>
  <si>
    <t>TOKO DWI RETNO SAMUDRO</t>
  </si>
  <si>
    <t>TOKO JERORA JAYA</t>
  </si>
  <si>
    <t>HARYA SARI</t>
  </si>
  <si>
    <t>TOKO HARYATI</t>
  </si>
  <si>
    <t>TOKO KARDI</t>
  </si>
  <si>
    <t>TOKO KHET MEN</t>
  </si>
  <si>
    <t>TOKO ENDANG HARTATI</t>
  </si>
  <si>
    <t>TOKO DWI SUSILO</t>
  </si>
  <si>
    <t>TOKO CAH HERU</t>
  </si>
  <si>
    <t>TOKO AANG  DARMAWAN</t>
  </si>
  <si>
    <t>TOKO DIDIK PRIOJADMIKO</t>
  </si>
  <si>
    <t>TOKO HENI LAY</t>
  </si>
  <si>
    <t>TOKO APRIYANTO</t>
  </si>
  <si>
    <t>WARUNG NAK ZIHAN</t>
  </si>
  <si>
    <t>TOKO KIAN KIONG</t>
  </si>
  <si>
    <t>TOKO ANDREAS INDAH</t>
  </si>
  <si>
    <t>TOKO NURDIAH</t>
  </si>
  <si>
    <t>TOKO SARDIYANTO</t>
  </si>
  <si>
    <t>TOKO EKA SAPUTRA JAYA</t>
  </si>
  <si>
    <t>TOKO FAKHLI HARUDI</t>
  </si>
  <si>
    <t>LANGKAH JAYA</t>
  </si>
  <si>
    <t>TOKO ANDRI SUGIANTO</t>
  </si>
  <si>
    <t>TOKO JESAYA GINTING</t>
  </si>
  <si>
    <t>TOKO YENNI SUSILAWATI</t>
  </si>
  <si>
    <t>TOKO ENDANG SUSILAWATI</t>
  </si>
  <si>
    <t>TOKO DIANA RISTA</t>
  </si>
  <si>
    <t>TOKO BOB-I</t>
  </si>
  <si>
    <t>TOKO DARKUM KOPERASI DISPERINDAG</t>
  </si>
  <si>
    <t>TOKO SUKARDI</t>
  </si>
  <si>
    <t>TOKO ISNANI SITI RAFIAH</t>
  </si>
  <si>
    <t>TOKO PANISITAWATI HERMINA PAULA</t>
  </si>
  <si>
    <t>TOKO DENY WIDODO</t>
  </si>
  <si>
    <t>TOKO HERU SUSANTO</t>
  </si>
  <si>
    <t>TOKO RUDY</t>
  </si>
  <si>
    <t>TOKO FEBRIANTI INDAH LESTARI</t>
  </si>
  <si>
    <t>TOKO ODONG SOBARI</t>
  </si>
  <si>
    <t>TOKO CUCUM</t>
  </si>
  <si>
    <t>TOKO SRI WAHYUNI</t>
  </si>
  <si>
    <t>TOKO DEWI AFRITA</t>
  </si>
  <si>
    <t>UMMI</t>
  </si>
  <si>
    <t>TOKO SIGID PAMBUDI</t>
  </si>
  <si>
    <t>TOKO SYARBINUS PANGKAS</t>
  </si>
  <si>
    <t>TOKO AGUSTINUS</t>
  </si>
  <si>
    <t>TOKO ARI YANTO</t>
  </si>
  <si>
    <t>TOKO SAPARNI</t>
  </si>
  <si>
    <t>TOKO SIMON SUMARDI</t>
  </si>
  <si>
    <t>TOKO EKO BUDI WINASIS</t>
  </si>
  <si>
    <t>TOKO HERI HARYANTO</t>
  </si>
  <si>
    <t>TOKO NURFADILAH</t>
  </si>
  <si>
    <t>TOKO MARDIUS</t>
  </si>
  <si>
    <t>TOKO ANTONIUS</t>
  </si>
  <si>
    <t>TOKO SILVIANA</t>
  </si>
  <si>
    <t>TOKO SUNDARIANTO</t>
  </si>
  <si>
    <t>TOKO QOYIM MASYAHARI</t>
  </si>
  <si>
    <t>TOKO SOFIAN</t>
  </si>
  <si>
    <t>TOKO USAHA</t>
  </si>
  <si>
    <t>TOKO IDAWATI</t>
  </si>
  <si>
    <t>TOKO MIKA ERNAWATI</t>
  </si>
  <si>
    <t>TOKO HERWIN</t>
  </si>
  <si>
    <t>TOKO ABANG HERIYANSYAH</t>
  </si>
  <si>
    <t>TOKO. BUMDES JAYA</t>
  </si>
  <si>
    <t>TOKO BUNAWI</t>
  </si>
  <si>
    <t>TOKO ASEP SAFRUDIN</t>
  </si>
  <si>
    <t>TOKO JUANTI</t>
  </si>
  <si>
    <t>TOKO MUHAMMAD JUMADI</t>
  </si>
  <si>
    <t>TOKO DWIANA MARYATI</t>
  </si>
  <si>
    <t>TOKO JANUR SAPUTRA</t>
  </si>
  <si>
    <t>TOKO MOMONG ALPINA</t>
  </si>
  <si>
    <t>TOKO RITA ROSANTI</t>
  </si>
  <si>
    <t>TOKO SAMSUL HIDAYAT</t>
  </si>
  <si>
    <t>TOKO AHMAD PUTRA</t>
  </si>
  <si>
    <t>TOKO DAVIS SUKA</t>
  </si>
  <si>
    <t>TOKO AMRAN</t>
  </si>
  <si>
    <t>TOKO PESSY MIAR</t>
  </si>
  <si>
    <t>TOKO SRI MASMIDAH</t>
  </si>
  <si>
    <t>TOKO GATOT SUBROTO</t>
  </si>
  <si>
    <t>PT. BANK RAKYAT INDONESIA (PERSERO) TBK.</t>
  </si>
  <si>
    <t>TOKO ALEXANDER Y.</t>
  </si>
  <si>
    <t>TOKO URAI INA KURNIA</t>
  </si>
  <si>
    <t>TOKO ENDANG RASMINI</t>
  </si>
  <si>
    <t>TOKO ASUN</t>
  </si>
  <si>
    <t>TOKO ALFONSO</t>
  </si>
  <si>
    <t>TOKO IGNASIUS SUNARNO</t>
  </si>
  <si>
    <t>TOKO ACAP</t>
  </si>
  <si>
    <t>TOKO PRAYOGA</t>
  </si>
  <si>
    <t>TOKO FATMAWATI</t>
  </si>
  <si>
    <t>TOKO HERMANSYAH</t>
  </si>
  <si>
    <t>TOKO SUMARSONO</t>
  </si>
  <si>
    <t>TOKO HENDRA. S</t>
  </si>
  <si>
    <t>TOKO IMIN</t>
  </si>
  <si>
    <t>TOKO LINA</t>
  </si>
  <si>
    <t>TOKO IIP KUSPOYO</t>
  </si>
  <si>
    <t>TOKO SUBIANTO</t>
  </si>
  <si>
    <t>TOKO FLORENTINA</t>
  </si>
  <si>
    <t>TOKO YAKOB</t>
  </si>
  <si>
    <t>TOKO SITI CHOMSAH</t>
  </si>
  <si>
    <t>TOKO HERMANTO</t>
  </si>
  <si>
    <t>TOKO SIMUS</t>
  </si>
  <si>
    <t>TOKO YULIANA</t>
  </si>
  <si>
    <t>TOKO RUSMALA</t>
  </si>
  <si>
    <t>TOKO MUHAMMAD RONI</t>
  </si>
  <si>
    <t>TOKO GERRY GUMILANG</t>
  </si>
  <si>
    <t>Grand Total</t>
  </si>
  <si>
    <t>2020</t>
  </si>
  <si>
    <t>2021</t>
  </si>
  <si>
    <t>Jan</t>
  </si>
  <si>
    <t>Feb</t>
  </si>
  <si>
    <t>Mar</t>
  </si>
  <si>
    <t>Apr</t>
  </si>
  <si>
    <t>May</t>
  </si>
  <si>
    <t>Jun</t>
  </si>
  <si>
    <t>Jul</t>
  </si>
  <si>
    <t>Aug</t>
  </si>
  <si>
    <t>Sep</t>
  </si>
  <si>
    <t>Oct</t>
  </si>
  <si>
    <t>Nov</t>
  </si>
  <si>
    <t>Dec</t>
  </si>
  <si>
    <t>Row Labels</t>
  </si>
  <si>
    <t>Sum of nominal</t>
  </si>
  <si>
    <t>OMSET</t>
  </si>
  <si>
    <t>Tren pengadaan dan penjualan</t>
  </si>
  <si>
    <t>Sum of kuantum_pengadaan</t>
  </si>
  <si>
    <t>Sum of kuantum_penjualan</t>
  </si>
  <si>
    <t>Pengadaan dan penjualan per barang</t>
  </si>
  <si>
    <t>Top 5 pembeli</t>
  </si>
  <si>
    <t>Total jenis barang</t>
  </si>
  <si>
    <t>Count of nama.barang</t>
  </si>
  <si>
    <t>total jenis barang</t>
  </si>
  <si>
    <t>Total kuantum pengadaan</t>
  </si>
  <si>
    <t>total kuantum pengadaan</t>
  </si>
  <si>
    <t>total kuantum penjualan</t>
  </si>
  <si>
    <t>Total Omset</t>
  </si>
  <si>
    <t>total omset</t>
  </si>
  <si>
    <t>Persen barang terjual</t>
  </si>
  <si>
    <t>Kuantum</t>
  </si>
  <si>
    <t>Omset</t>
  </si>
  <si>
    <t>Customer</t>
  </si>
  <si>
    <t>TOP 10 Customer</t>
  </si>
  <si>
    <t>Qtr1</t>
  </si>
  <si>
    <t>Qtr2</t>
  </si>
  <si>
    <t>Qtr3</t>
  </si>
  <si>
    <t>Qtr4</t>
  </si>
  <si>
    <t>Total Kuantum Penjualan</t>
  </si>
  <si>
    <t>Total Kuantum Pengadaan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</si>
</sst>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IDR]\ #,##0"/>
    <numFmt numFmtId="165" formatCode="_(* #,##0_);_(* \(#,##0\);_(* &quot;-&quot;??_);_(@_)"/>
    <numFmt numFmtId="166" formatCode="_-[$Rp]\ * #,##0_-;\-[$Rp]\ * #,##0_-;_-[$Rp]\ * &quot;-&quot;_-;_-@_-" x16r2:formatCode16="_-[$Rp-jv-Java-ID]\ * #,##0_-;\-[$Rp-jv-Java-ID]\ * #,##0_-;_-[$Rp-jv-Java-ID]\ * &quot;-&quot;_-;_-@_-"/>
    <numFmt numFmtId="167" formatCode="#,##0,,\ &quot;Jt&quot;"/>
    <numFmt numFmtId="168" formatCode="_-[$Rp-421]* #,##0_-;\-[$Rp-421]* #,##0_-;_-[$Rp-421]*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7">
    <xf numFmtId="0" fontId="0" fillId="0" borderId="0" xfId="0"/>
    <xf numFmtId="14"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1" fillId="0" borderId="0" xfId="0" applyFont="1" applyAlignment="1">
      <alignment horizontal="left"/>
    </xf>
    <xf numFmtId="165" fontId="0" fillId="0" borderId="0" xfId="0" applyNumberFormat="1"/>
    <xf numFmtId="165" fontId="0" fillId="0" borderId="0" xfId="1" applyNumberFormat="1" applyFont="1"/>
    <xf numFmtId="166" fontId="0" fillId="0" borderId="0" xfId="0" applyNumberFormat="1"/>
    <xf numFmtId="10" fontId="0" fillId="0" borderId="0" xfId="2" applyNumberFormat="1" applyFont="1"/>
    <xf numFmtId="167" fontId="0" fillId="0" borderId="0" xfId="0" applyNumberFormat="1"/>
    <xf numFmtId="0" fontId="3" fillId="0" borderId="0" xfId="0" applyFont="1"/>
    <xf numFmtId="168" fontId="0" fillId="0" borderId="0" xfId="0" applyNumberFormat="1"/>
    <xf numFmtId="0" fontId="0" fillId="0" borderId="0" xfId="0" applyNumberFormat="1"/>
  </cellXfs>
  <cellStyles count="3">
    <cellStyle name="Comma" xfId="1" builtinId="3"/>
    <cellStyle name="Normal" xfId="0" builtinId="0"/>
    <cellStyle name="Percent" xfId="2" builtinId="5"/>
  </cellStyles>
  <dxfs count="61">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8" formatCode="_-[$Rp-421]* #,##0_-;\-[$Rp-421]* #,##0_-;_-[$Rp-421]* &quot;-&quot;_-;_-@_-"/>
    </dxf>
    <dxf>
      <numFmt numFmtId="0" formatCode="General"/>
    </dxf>
    <dxf>
      <numFmt numFmtId="19" formatCode="m/d/yyyy"/>
    </dxf>
    <dxf>
      <numFmt numFmtId="164" formatCode="[$IDR]\ #,##0"/>
    </dxf>
    <dxf>
      <numFmt numFmtId="1" formatCode="0"/>
    </dxf>
    <dxf>
      <numFmt numFmtId="19" formatCode="m/d/yyyy"/>
    </dxf>
    <dxf>
      <numFmt numFmtId="1" formatCode="0"/>
    </dxf>
    <dxf>
      <numFmt numFmtId="19" formatCode="m/d/yyyy"/>
    </dxf>
    <dxf>
      <numFmt numFmtId="166" formatCode="_-[$Rp]\ * #,##0_-;\-[$Rp]\ * #,##0_-;_-[$Rp]\ * &quot;-&quot;_-;_-@_-" x16r2:formatCode16="_-[$Rp-jv-Java-ID]\ * #,##0_-;\-[$Rp-jv-Java-ID]\ * #,##0_-;_-[$Rp-jv-Java-ID]\ * &quot;-&quot;_-;_-@_-"/>
    </dxf>
    <dxf>
      <numFmt numFmtId="165" formatCode="_(* #,##0_);_(* \(#,##0\);_(* &quot;-&quot;??_);_(@_)"/>
    </dxf>
    <dxf>
      <numFmt numFmtId="165" formatCode="_(* #,##0_);_(* \(#,##0\);_(* &quot;-&quot;??_);_(@_)"/>
    </dxf>
    <dxf>
      <numFmt numFmtId="165" formatCode="_(* #,##0_);_(* \(#,##0\);_(* &quot;-&quot;??_);_(@_)"/>
    </dxf>
    <dxf>
      <numFmt numFmtId="166" formatCode="_-[$Rp]\ * #,##0_-;\-[$Rp]\ * #,##0_-;_-[$Rp]\ * &quot;-&quot;_-;_-@_-" x16r2:formatCode16="_-[$Rp-jv-Java-ID]\ * #,##0_-;\-[$Rp-jv-Java-ID]\ * #,##0_-;_-[$Rp-jv-Java-ID]\ * &quot;-&quot;_-;_-@_-"/>
    </dxf>
    <dxf>
      <numFmt numFmtId="165" formatCode="_(* #,##0_);_(* \(#,##0\);_(* &quot;-&quot;??_);_(@_)"/>
    </dxf>
    <dxf>
      <numFmt numFmtId="167" formatCode="#,##0,,\ &quot;Jt&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_-[$Rp-421]* #,##0_-;\-[$Rp-421]* #,##0_-;_-[$Rp-421]*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Omset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multiLvlStrRef>
              <c:f>Pivot!$A$4:$A$22</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Pivot!$B$4:$B$22</c:f>
              <c:numCache>
                <c:formatCode>General</c:formatCode>
                <c:ptCount val="16"/>
                <c:pt idx="0">
                  <c:v>1493859800</c:v>
                </c:pt>
                <c:pt idx="1">
                  <c:v>2414098600</c:v>
                </c:pt>
                <c:pt idx="2">
                  <c:v>1699243000</c:v>
                </c:pt>
                <c:pt idx="3">
                  <c:v>1141446000</c:v>
                </c:pt>
                <c:pt idx="4">
                  <c:v>2592779400</c:v>
                </c:pt>
                <c:pt idx="5">
                  <c:v>3585608350</c:v>
                </c:pt>
                <c:pt idx="6">
                  <c:v>1809156500</c:v>
                </c:pt>
                <c:pt idx="7">
                  <c:v>1523318525</c:v>
                </c:pt>
                <c:pt idx="8">
                  <c:v>1061298100</c:v>
                </c:pt>
                <c:pt idx="9">
                  <c:v>859581660</c:v>
                </c:pt>
                <c:pt idx="10">
                  <c:v>2071575425</c:v>
                </c:pt>
                <c:pt idx="11">
                  <c:v>1654545698</c:v>
                </c:pt>
                <c:pt idx="12">
                  <c:v>565074784</c:v>
                </c:pt>
                <c:pt idx="13">
                  <c:v>1266581960</c:v>
                </c:pt>
                <c:pt idx="14">
                  <c:v>250824060</c:v>
                </c:pt>
                <c:pt idx="15">
                  <c:v>888323470</c:v>
                </c:pt>
              </c:numCache>
            </c:numRef>
          </c:val>
          <c:smooth val="0"/>
          <c:extLst>
            <c:ext xmlns:c16="http://schemas.microsoft.com/office/drawing/2014/chart" uri="{C3380CC4-5D6E-409C-BE32-E72D297353CC}">
              <c16:uniqueId val="{00000002-8714-47D2-B4E5-D888EEC6C188}"/>
            </c:ext>
          </c:extLst>
        </c:ser>
        <c:dLbls>
          <c:showLegendKey val="0"/>
          <c:showVal val="0"/>
          <c:showCatName val="0"/>
          <c:showSerName val="0"/>
          <c:showPercent val="0"/>
          <c:showBubbleSize val="0"/>
        </c:dLbls>
        <c:smooth val="0"/>
        <c:axId val="220523568"/>
        <c:axId val="202814736"/>
      </c:lineChart>
      <c:catAx>
        <c:axId val="22052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4736"/>
        <c:crosses val="autoZero"/>
        <c:auto val="1"/>
        <c:lblAlgn val="ctr"/>
        <c:lblOffset val="100"/>
        <c:noMultiLvlLbl val="0"/>
      </c:catAx>
      <c:valAx>
        <c:axId val="20281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2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a:t>
            </a:r>
            <a:r>
              <a:rPr lang="en-US" baseline="0"/>
              <a:t> </a:t>
            </a:r>
            <a:r>
              <a:rPr lang="en-US"/>
              <a:t>Pengadaan Vs Penjualan</a:t>
            </a:r>
            <a:r>
              <a:rPr lang="en-US" baseline="0"/>
              <a:t> (Kuantum)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c:f>
              <c:strCache>
                <c:ptCount val="1"/>
                <c:pt idx="0">
                  <c:v>Total Kuantum Penjualan</c:v>
                </c:pt>
              </c:strCache>
            </c:strRef>
          </c:tx>
          <c:spPr>
            <a:ln w="28575" cap="rnd">
              <a:solidFill>
                <a:schemeClr val="accent1"/>
              </a:solidFill>
              <a:round/>
            </a:ln>
            <a:effectLst/>
          </c:spPr>
          <c:marker>
            <c:symbol val="none"/>
          </c:marker>
          <c:cat>
            <c:multiLvlStrRef>
              <c:f>Pivot!$A$26:$A$44</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Pivot!$B$26:$B$44</c:f>
              <c:numCache>
                <c:formatCode>General</c:formatCode>
                <c:ptCount val="16"/>
                <c:pt idx="0">
                  <c:v>130456</c:v>
                </c:pt>
                <c:pt idx="1">
                  <c:v>225418</c:v>
                </c:pt>
                <c:pt idx="2">
                  <c:v>155890</c:v>
                </c:pt>
                <c:pt idx="3">
                  <c:v>77490</c:v>
                </c:pt>
                <c:pt idx="4">
                  <c:v>252304</c:v>
                </c:pt>
                <c:pt idx="5">
                  <c:v>315018</c:v>
                </c:pt>
                <c:pt idx="6">
                  <c:v>173516</c:v>
                </c:pt>
                <c:pt idx="7">
                  <c:v>145637</c:v>
                </c:pt>
                <c:pt idx="8">
                  <c:v>98316</c:v>
                </c:pt>
                <c:pt idx="9">
                  <c:v>79289</c:v>
                </c:pt>
                <c:pt idx="10">
                  <c:v>190363</c:v>
                </c:pt>
                <c:pt idx="11">
                  <c:v>150624</c:v>
                </c:pt>
                <c:pt idx="12">
                  <c:v>41202</c:v>
                </c:pt>
                <c:pt idx="13">
                  <c:v>109590</c:v>
                </c:pt>
                <c:pt idx="14">
                  <c:v>11154</c:v>
                </c:pt>
                <c:pt idx="15">
                  <c:v>80230</c:v>
                </c:pt>
              </c:numCache>
            </c:numRef>
          </c:val>
          <c:smooth val="0"/>
          <c:extLst>
            <c:ext xmlns:c16="http://schemas.microsoft.com/office/drawing/2014/chart" uri="{C3380CC4-5D6E-409C-BE32-E72D297353CC}">
              <c16:uniqueId val="{00000003-86D5-412C-B757-9EEFD6C1B96E}"/>
            </c:ext>
          </c:extLst>
        </c:ser>
        <c:ser>
          <c:idx val="1"/>
          <c:order val="1"/>
          <c:tx>
            <c:strRef>
              <c:f>Pivot!$C$25</c:f>
              <c:strCache>
                <c:ptCount val="1"/>
                <c:pt idx="0">
                  <c:v>Total Kuantum Pengadaan</c:v>
                </c:pt>
              </c:strCache>
            </c:strRef>
          </c:tx>
          <c:spPr>
            <a:ln w="28575" cap="rnd">
              <a:solidFill>
                <a:schemeClr val="accent2"/>
              </a:solidFill>
              <a:round/>
            </a:ln>
            <a:effectLst/>
          </c:spPr>
          <c:marker>
            <c:symbol val="none"/>
          </c:marker>
          <c:cat>
            <c:multiLvlStrRef>
              <c:f>Pivot!$A$26:$A$44</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Pivot!$C$26:$C$44</c:f>
              <c:numCache>
                <c:formatCode>General</c:formatCode>
                <c:ptCount val="16"/>
                <c:pt idx="0">
                  <c:v>355778</c:v>
                </c:pt>
                <c:pt idx="1">
                  <c:v>108664</c:v>
                </c:pt>
                <c:pt idx="2">
                  <c:v>138180</c:v>
                </c:pt>
                <c:pt idx="3">
                  <c:v>50160</c:v>
                </c:pt>
                <c:pt idx="4">
                  <c:v>451000</c:v>
                </c:pt>
                <c:pt idx="5">
                  <c:v>425300</c:v>
                </c:pt>
                <c:pt idx="6">
                  <c:v>151075</c:v>
                </c:pt>
                <c:pt idx="7">
                  <c:v>100074</c:v>
                </c:pt>
                <c:pt idx="8">
                  <c:v>55100</c:v>
                </c:pt>
                <c:pt idx="9">
                  <c:v>104075</c:v>
                </c:pt>
                <c:pt idx="10">
                  <c:v>165500</c:v>
                </c:pt>
                <c:pt idx="11">
                  <c:v>86000</c:v>
                </c:pt>
                <c:pt idx="12">
                  <c:v>54000</c:v>
                </c:pt>
                <c:pt idx="13">
                  <c:v>1500</c:v>
                </c:pt>
                <c:pt idx="14">
                  <c:v>101500</c:v>
                </c:pt>
              </c:numCache>
            </c:numRef>
          </c:val>
          <c:smooth val="0"/>
          <c:extLst>
            <c:ext xmlns:c16="http://schemas.microsoft.com/office/drawing/2014/chart" uri="{C3380CC4-5D6E-409C-BE32-E72D297353CC}">
              <c16:uniqueId val="{00000004-86D5-412C-B757-9EEFD6C1B96E}"/>
            </c:ext>
          </c:extLst>
        </c:ser>
        <c:dLbls>
          <c:showLegendKey val="0"/>
          <c:showVal val="0"/>
          <c:showCatName val="0"/>
          <c:showSerName val="0"/>
          <c:showPercent val="0"/>
          <c:showBubbleSize val="0"/>
        </c:dLbls>
        <c:smooth val="0"/>
        <c:axId val="2106467471"/>
        <c:axId val="2009305903"/>
      </c:lineChart>
      <c:catAx>
        <c:axId val="210646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5903"/>
        <c:crosses val="autoZero"/>
        <c:auto val="1"/>
        <c:lblAlgn val="ctr"/>
        <c:lblOffset val="100"/>
        <c:noMultiLvlLbl val="0"/>
      </c:catAx>
      <c:valAx>
        <c:axId val="200930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46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Pengadaan Vs Penjualan barang (Kuantum)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Pivot!$B$47</c:f>
              <c:strCache>
                <c:ptCount val="1"/>
                <c:pt idx="0">
                  <c:v>Total Kuantum Pengadaan</c:v>
                </c:pt>
              </c:strCache>
            </c:strRef>
          </c:tx>
          <c:spPr>
            <a:solidFill>
              <a:schemeClr val="accent1"/>
            </a:solidFill>
            <a:ln>
              <a:noFill/>
            </a:ln>
            <a:effectLst/>
          </c:spPr>
          <c:invertIfNegative val="0"/>
          <c:cat>
            <c:strRef>
              <c:f>Pivot!$A$48:$A$53</c:f>
              <c:strCache>
                <c:ptCount val="5"/>
                <c:pt idx="0">
                  <c:v>BERAS</c:v>
                </c:pt>
                <c:pt idx="1">
                  <c:v>DAGING</c:v>
                </c:pt>
                <c:pt idx="2">
                  <c:v>GULA</c:v>
                </c:pt>
                <c:pt idx="3">
                  <c:v>MIGOR</c:v>
                </c:pt>
                <c:pt idx="4">
                  <c:v>TEPUNG</c:v>
                </c:pt>
              </c:strCache>
            </c:strRef>
          </c:cat>
          <c:val>
            <c:numRef>
              <c:f>Pivot!$B$48:$B$53</c:f>
              <c:numCache>
                <c:formatCode>General</c:formatCode>
                <c:ptCount val="5"/>
                <c:pt idx="0">
                  <c:v>1975258</c:v>
                </c:pt>
                <c:pt idx="1">
                  <c:v>16500</c:v>
                </c:pt>
                <c:pt idx="2">
                  <c:v>322000</c:v>
                </c:pt>
                <c:pt idx="3">
                  <c:v>25648</c:v>
                </c:pt>
                <c:pt idx="4">
                  <c:v>8500</c:v>
                </c:pt>
              </c:numCache>
            </c:numRef>
          </c:val>
          <c:extLst>
            <c:ext xmlns:c16="http://schemas.microsoft.com/office/drawing/2014/chart" uri="{C3380CC4-5D6E-409C-BE32-E72D297353CC}">
              <c16:uniqueId val="{00000003-9E1E-4E1A-8831-6B1A4137375B}"/>
            </c:ext>
          </c:extLst>
        </c:ser>
        <c:ser>
          <c:idx val="1"/>
          <c:order val="1"/>
          <c:tx>
            <c:strRef>
              <c:f>Pivot!$C$47</c:f>
              <c:strCache>
                <c:ptCount val="1"/>
                <c:pt idx="0">
                  <c:v>Total Kuantum Penjualan</c:v>
                </c:pt>
              </c:strCache>
            </c:strRef>
          </c:tx>
          <c:spPr>
            <a:solidFill>
              <a:schemeClr val="accent2"/>
            </a:solidFill>
            <a:ln>
              <a:noFill/>
            </a:ln>
            <a:effectLst/>
          </c:spPr>
          <c:invertIfNegative val="0"/>
          <c:cat>
            <c:strRef>
              <c:f>Pivot!$A$48:$A$53</c:f>
              <c:strCache>
                <c:ptCount val="5"/>
                <c:pt idx="0">
                  <c:v>BERAS</c:v>
                </c:pt>
                <c:pt idx="1">
                  <c:v>DAGING</c:v>
                </c:pt>
                <c:pt idx="2">
                  <c:v>GULA</c:v>
                </c:pt>
                <c:pt idx="3">
                  <c:v>MIGOR</c:v>
                </c:pt>
                <c:pt idx="4">
                  <c:v>TEPUNG</c:v>
                </c:pt>
              </c:strCache>
            </c:strRef>
          </c:cat>
          <c:val>
            <c:numRef>
              <c:f>Pivot!$C$48:$C$53</c:f>
              <c:numCache>
                <c:formatCode>General</c:formatCode>
                <c:ptCount val="5"/>
                <c:pt idx="0">
                  <c:v>1965258</c:v>
                </c:pt>
                <c:pt idx="1">
                  <c:v>15635</c:v>
                </c:pt>
                <c:pt idx="2">
                  <c:v>223436</c:v>
                </c:pt>
                <c:pt idx="3">
                  <c:v>24148</c:v>
                </c:pt>
                <c:pt idx="4">
                  <c:v>8020</c:v>
                </c:pt>
              </c:numCache>
            </c:numRef>
          </c:val>
          <c:extLst>
            <c:ext xmlns:c16="http://schemas.microsoft.com/office/drawing/2014/chart" uri="{C3380CC4-5D6E-409C-BE32-E72D297353CC}">
              <c16:uniqueId val="{00000004-9E1E-4E1A-8831-6B1A4137375B}"/>
            </c:ext>
          </c:extLst>
        </c:ser>
        <c:dLbls>
          <c:showLegendKey val="0"/>
          <c:showVal val="0"/>
          <c:showCatName val="0"/>
          <c:showSerName val="0"/>
          <c:showPercent val="0"/>
          <c:showBubbleSize val="0"/>
        </c:dLbls>
        <c:gapWidth val="182"/>
        <c:axId val="103432352"/>
        <c:axId val="230617088"/>
      </c:barChart>
      <c:catAx>
        <c:axId val="10343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17088"/>
        <c:crosses val="autoZero"/>
        <c:auto val="1"/>
        <c:lblAlgn val="ctr"/>
        <c:lblOffset val="100"/>
        <c:noMultiLvlLbl val="0"/>
      </c:catAx>
      <c:valAx>
        <c:axId val="230617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Tren Omset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5400" cap="rnd">
              <a:solidFill>
                <a:schemeClr val="accent1"/>
              </a:solidFill>
              <a:round/>
            </a:ln>
            <a:effectLst/>
          </c:spPr>
          <c:marker>
            <c:symbol val="circle"/>
            <c:size val="5"/>
            <c:spPr>
              <a:solidFill>
                <a:schemeClr val="accent1"/>
              </a:solidFill>
              <a:ln w="9525">
                <a:solidFill>
                  <a:schemeClr val="accent1"/>
                </a:solidFill>
              </a:ln>
              <a:effectLst/>
            </c:spPr>
          </c:marker>
          <c:cat>
            <c:multiLvlStrRef>
              <c:f>Pivot!$A$4:$A$22</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Pivot!$B$4:$B$22</c:f>
              <c:numCache>
                <c:formatCode>General</c:formatCode>
                <c:ptCount val="16"/>
                <c:pt idx="0">
                  <c:v>1493859800</c:v>
                </c:pt>
                <c:pt idx="1">
                  <c:v>2414098600</c:v>
                </c:pt>
                <c:pt idx="2">
                  <c:v>1699243000</c:v>
                </c:pt>
                <c:pt idx="3">
                  <c:v>1141446000</c:v>
                </c:pt>
                <c:pt idx="4">
                  <c:v>2592779400</c:v>
                </c:pt>
                <c:pt idx="5">
                  <c:v>3585608350</c:v>
                </c:pt>
                <c:pt idx="6">
                  <c:v>1809156500</c:v>
                </c:pt>
                <c:pt idx="7">
                  <c:v>1523318525</c:v>
                </c:pt>
                <c:pt idx="8">
                  <c:v>1061298100</c:v>
                </c:pt>
                <c:pt idx="9">
                  <c:v>859581660</c:v>
                </c:pt>
                <c:pt idx="10">
                  <c:v>2071575425</c:v>
                </c:pt>
                <c:pt idx="11">
                  <c:v>1654545698</c:v>
                </c:pt>
                <c:pt idx="12">
                  <c:v>565074784</c:v>
                </c:pt>
                <c:pt idx="13">
                  <c:v>1266581960</c:v>
                </c:pt>
                <c:pt idx="14">
                  <c:v>250824060</c:v>
                </c:pt>
                <c:pt idx="15">
                  <c:v>888323470</c:v>
                </c:pt>
              </c:numCache>
            </c:numRef>
          </c:val>
          <c:smooth val="0"/>
          <c:extLst>
            <c:ext xmlns:c16="http://schemas.microsoft.com/office/drawing/2014/chart" uri="{C3380CC4-5D6E-409C-BE32-E72D297353CC}">
              <c16:uniqueId val="{00000002-EC06-4638-AF0B-5F10C9CE7025}"/>
            </c:ext>
          </c:extLst>
        </c:ser>
        <c:dLbls>
          <c:showLegendKey val="0"/>
          <c:showVal val="0"/>
          <c:showCatName val="0"/>
          <c:showSerName val="0"/>
          <c:showPercent val="0"/>
          <c:showBubbleSize val="0"/>
        </c:dLbls>
        <c:marker val="1"/>
        <c:smooth val="0"/>
        <c:axId val="220523568"/>
        <c:axId val="202814736"/>
      </c:lineChart>
      <c:catAx>
        <c:axId val="22052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4736"/>
        <c:crosses val="autoZero"/>
        <c:auto val="1"/>
        <c:lblAlgn val="ctr"/>
        <c:lblOffset val="100"/>
        <c:noMultiLvlLbl val="0"/>
      </c:catAx>
      <c:valAx>
        <c:axId val="20281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2052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Tren</a:t>
            </a:r>
            <a:r>
              <a:rPr lang="en-US" b="1" baseline="0">
                <a:solidFill>
                  <a:sysClr val="windowText" lastClr="000000"/>
                </a:solidFill>
              </a:rPr>
              <a:t> </a:t>
            </a:r>
            <a:r>
              <a:rPr lang="en-US" b="1">
                <a:solidFill>
                  <a:sysClr val="windowText" lastClr="000000"/>
                </a:solidFill>
              </a:rPr>
              <a:t>Pengadaan Vs Penjualan</a:t>
            </a:r>
            <a:r>
              <a:rPr lang="en-US" b="1" baseline="0">
                <a:solidFill>
                  <a:sysClr val="windowText" lastClr="000000"/>
                </a:solidFill>
              </a:rPr>
              <a:t> (Kuantum)</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c:f>
              <c:strCache>
                <c:ptCount val="1"/>
                <c:pt idx="0">
                  <c:v>Total Kuantum Penjualan</c:v>
                </c:pt>
              </c:strCache>
            </c:strRef>
          </c:tx>
          <c:spPr>
            <a:ln w="28575" cap="rnd">
              <a:solidFill>
                <a:schemeClr val="accent1"/>
              </a:solidFill>
              <a:round/>
            </a:ln>
            <a:effectLst/>
          </c:spPr>
          <c:marker>
            <c:symbol val="none"/>
          </c:marker>
          <c:cat>
            <c:multiLvlStrRef>
              <c:f>Pivot!$A$26:$A$44</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Pivot!$B$26:$B$44</c:f>
              <c:numCache>
                <c:formatCode>General</c:formatCode>
                <c:ptCount val="16"/>
                <c:pt idx="0">
                  <c:v>130456</c:v>
                </c:pt>
                <c:pt idx="1">
                  <c:v>225418</c:v>
                </c:pt>
                <c:pt idx="2">
                  <c:v>155890</c:v>
                </c:pt>
                <c:pt idx="3">
                  <c:v>77490</c:v>
                </c:pt>
                <c:pt idx="4">
                  <c:v>252304</c:v>
                </c:pt>
                <c:pt idx="5">
                  <c:v>315018</c:v>
                </c:pt>
                <c:pt idx="6">
                  <c:v>173516</c:v>
                </c:pt>
                <c:pt idx="7">
                  <c:v>145637</c:v>
                </c:pt>
                <c:pt idx="8">
                  <c:v>98316</c:v>
                </c:pt>
                <c:pt idx="9">
                  <c:v>79289</c:v>
                </c:pt>
                <c:pt idx="10">
                  <c:v>190363</c:v>
                </c:pt>
                <c:pt idx="11">
                  <c:v>150624</c:v>
                </c:pt>
                <c:pt idx="12">
                  <c:v>41202</c:v>
                </c:pt>
                <c:pt idx="13">
                  <c:v>109590</c:v>
                </c:pt>
                <c:pt idx="14">
                  <c:v>11154</c:v>
                </c:pt>
                <c:pt idx="15">
                  <c:v>80230</c:v>
                </c:pt>
              </c:numCache>
            </c:numRef>
          </c:val>
          <c:smooth val="0"/>
          <c:extLst>
            <c:ext xmlns:c16="http://schemas.microsoft.com/office/drawing/2014/chart" uri="{C3380CC4-5D6E-409C-BE32-E72D297353CC}">
              <c16:uniqueId val="{00000003-70B7-48ED-B125-2DE169884D93}"/>
            </c:ext>
          </c:extLst>
        </c:ser>
        <c:ser>
          <c:idx val="1"/>
          <c:order val="1"/>
          <c:tx>
            <c:strRef>
              <c:f>Pivot!$C$25</c:f>
              <c:strCache>
                <c:ptCount val="1"/>
                <c:pt idx="0">
                  <c:v>Total Kuantum Pengadaan</c:v>
                </c:pt>
              </c:strCache>
            </c:strRef>
          </c:tx>
          <c:spPr>
            <a:ln w="28575" cap="rnd">
              <a:solidFill>
                <a:schemeClr val="accent2"/>
              </a:solidFill>
              <a:round/>
            </a:ln>
            <a:effectLst/>
          </c:spPr>
          <c:marker>
            <c:symbol val="none"/>
          </c:marker>
          <c:cat>
            <c:multiLvlStrRef>
              <c:f>Pivot!$A$26:$A$44</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Pivot!$C$26:$C$44</c:f>
              <c:numCache>
                <c:formatCode>General</c:formatCode>
                <c:ptCount val="16"/>
                <c:pt idx="0">
                  <c:v>355778</c:v>
                </c:pt>
                <c:pt idx="1">
                  <c:v>108664</c:v>
                </c:pt>
                <c:pt idx="2">
                  <c:v>138180</c:v>
                </c:pt>
                <c:pt idx="3">
                  <c:v>50160</c:v>
                </c:pt>
                <c:pt idx="4">
                  <c:v>451000</c:v>
                </c:pt>
                <c:pt idx="5">
                  <c:v>425300</c:v>
                </c:pt>
                <c:pt idx="6">
                  <c:v>151075</c:v>
                </c:pt>
                <c:pt idx="7">
                  <c:v>100074</c:v>
                </c:pt>
                <c:pt idx="8">
                  <c:v>55100</c:v>
                </c:pt>
                <c:pt idx="9">
                  <c:v>104075</c:v>
                </c:pt>
                <c:pt idx="10">
                  <c:v>165500</c:v>
                </c:pt>
                <c:pt idx="11">
                  <c:v>86000</c:v>
                </c:pt>
                <c:pt idx="12">
                  <c:v>54000</c:v>
                </c:pt>
                <c:pt idx="13">
                  <c:v>1500</c:v>
                </c:pt>
                <c:pt idx="14">
                  <c:v>101500</c:v>
                </c:pt>
              </c:numCache>
            </c:numRef>
          </c:val>
          <c:smooth val="0"/>
          <c:extLst>
            <c:ext xmlns:c16="http://schemas.microsoft.com/office/drawing/2014/chart" uri="{C3380CC4-5D6E-409C-BE32-E72D297353CC}">
              <c16:uniqueId val="{00000004-70B7-48ED-B125-2DE169884D93}"/>
            </c:ext>
          </c:extLst>
        </c:ser>
        <c:dLbls>
          <c:showLegendKey val="0"/>
          <c:showVal val="0"/>
          <c:showCatName val="0"/>
          <c:showSerName val="0"/>
          <c:showPercent val="0"/>
          <c:showBubbleSize val="0"/>
        </c:dLbls>
        <c:smooth val="0"/>
        <c:axId val="2106467471"/>
        <c:axId val="2009305903"/>
      </c:lineChart>
      <c:catAx>
        <c:axId val="210646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5903"/>
        <c:crosses val="autoZero"/>
        <c:auto val="1"/>
        <c:lblAlgn val="ctr"/>
        <c:lblOffset val="100"/>
        <c:tickMarkSkip val="1"/>
        <c:noMultiLvlLbl val="0"/>
      </c:catAx>
      <c:valAx>
        <c:axId val="2009305903"/>
        <c:scaling>
          <c:orientation val="minMax"/>
        </c:scaling>
        <c:delete val="1"/>
        <c:axPos val="l"/>
        <c:numFmt formatCode="General" sourceLinked="1"/>
        <c:majorTickMark val="none"/>
        <c:minorTickMark val="none"/>
        <c:tickLblPos val="nextTo"/>
        <c:crossAx val="21064674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Sembako.xlsx]Pivot!PivotTable4</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Pengadaan Vs Penjualan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Pivot!$B$47</c:f>
              <c:strCache>
                <c:ptCount val="1"/>
                <c:pt idx="0">
                  <c:v>Total Kuantum Pengadaan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Pivot!$A$48:$A$53</c:f>
              <c:strCache>
                <c:ptCount val="5"/>
                <c:pt idx="0">
                  <c:v>BERAS</c:v>
                </c:pt>
                <c:pt idx="1">
                  <c:v>DAGING</c:v>
                </c:pt>
                <c:pt idx="2">
                  <c:v>GULA</c:v>
                </c:pt>
                <c:pt idx="3">
                  <c:v>MIGOR</c:v>
                </c:pt>
                <c:pt idx="4">
                  <c:v>TEPUNG</c:v>
                </c:pt>
              </c:strCache>
            </c:strRef>
          </c:cat>
          <c:val>
            <c:numRef>
              <c:f>Pivot!$B$48:$B$53</c:f>
              <c:numCache>
                <c:formatCode>General</c:formatCode>
                <c:ptCount val="5"/>
                <c:pt idx="0">
                  <c:v>1975258</c:v>
                </c:pt>
                <c:pt idx="1">
                  <c:v>16500</c:v>
                </c:pt>
                <c:pt idx="2">
                  <c:v>322000</c:v>
                </c:pt>
                <c:pt idx="3">
                  <c:v>25648</c:v>
                </c:pt>
                <c:pt idx="4">
                  <c:v>8500</c:v>
                </c:pt>
              </c:numCache>
            </c:numRef>
          </c:val>
          <c:extLst>
            <c:ext xmlns:c16="http://schemas.microsoft.com/office/drawing/2014/chart" uri="{C3380CC4-5D6E-409C-BE32-E72D297353CC}">
              <c16:uniqueId val="{00000003-9729-4078-A7D0-846D807C0C08}"/>
            </c:ext>
          </c:extLst>
        </c:ser>
        <c:ser>
          <c:idx val="1"/>
          <c:order val="1"/>
          <c:tx>
            <c:strRef>
              <c:f>Pivot!$C$47</c:f>
              <c:strCache>
                <c:ptCount val="1"/>
                <c:pt idx="0">
                  <c:v>Total Kuantum Penjualan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Pivot!$A$48:$A$53</c:f>
              <c:strCache>
                <c:ptCount val="5"/>
                <c:pt idx="0">
                  <c:v>BERAS</c:v>
                </c:pt>
                <c:pt idx="1">
                  <c:v>DAGING</c:v>
                </c:pt>
                <c:pt idx="2">
                  <c:v>GULA</c:v>
                </c:pt>
                <c:pt idx="3">
                  <c:v>MIGOR</c:v>
                </c:pt>
                <c:pt idx="4">
                  <c:v>TEPUNG</c:v>
                </c:pt>
              </c:strCache>
            </c:strRef>
          </c:cat>
          <c:val>
            <c:numRef>
              <c:f>Pivot!$C$48:$C$53</c:f>
              <c:numCache>
                <c:formatCode>General</c:formatCode>
                <c:ptCount val="5"/>
                <c:pt idx="0">
                  <c:v>1965258</c:v>
                </c:pt>
                <c:pt idx="1">
                  <c:v>15635</c:v>
                </c:pt>
                <c:pt idx="2">
                  <c:v>223436</c:v>
                </c:pt>
                <c:pt idx="3">
                  <c:v>24148</c:v>
                </c:pt>
                <c:pt idx="4">
                  <c:v>8020</c:v>
                </c:pt>
              </c:numCache>
            </c:numRef>
          </c:val>
          <c:extLst>
            <c:ext xmlns:c16="http://schemas.microsoft.com/office/drawing/2014/chart" uri="{C3380CC4-5D6E-409C-BE32-E72D297353CC}">
              <c16:uniqueId val="{00000004-9729-4078-A7D0-846D807C0C08}"/>
            </c:ext>
          </c:extLst>
        </c:ser>
        <c:dLbls>
          <c:dLblPos val="outEnd"/>
          <c:showLegendKey val="0"/>
          <c:showVal val="1"/>
          <c:showCatName val="0"/>
          <c:showSerName val="0"/>
          <c:showPercent val="0"/>
          <c:showBubbleSize val="0"/>
        </c:dLbls>
        <c:gapWidth val="182"/>
        <c:axId val="103432352"/>
        <c:axId val="230617088"/>
      </c:barChart>
      <c:catAx>
        <c:axId val="10343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17088"/>
        <c:crosses val="autoZero"/>
        <c:auto val="1"/>
        <c:lblAlgn val="ctr"/>
        <c:lblOffset val="100"/>
        <c:noMultiLvlLbl val="0"/>
      </c:catAx>
      <c:valAx>
        <c:axId val="23061708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3432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38100</xdr:colOff>
      <xdr:row>6</xdr:row>
      <xdr:rowOff>129540</xdr:rowOff>
    </xdr:from>
    <xdr:to>
      <xdr:col>9</xdr:col>
      <xdr:colOff>38100</xdr:colOff>
      <xdr:row>20</xdr:row>
      <xdr:rowOff>36195</xdr:rowOff>
    </xdr:to>
    <mc:AlternateContent xmlns:mc="http://schemas.openxmlformats.org/markup-compatibility/2006" xmlns:a14="http://schemas.microsoft.com/office/drawing/2010/main">
      <mc:Choice Requires="a14">
        <xdr:graphicFrame macro="">
          <xdr:nvGraphicFramePr>
            <xdr:cNvPr id="4" name="nama.barang">
              <a:extLst>
                <a:ext uri="{FF2B5EF4-FFF2-40B4-BE49-F238E27FC236}">
                  <a16:creationId xmlns:a16="http://schemas.microsoft.com/office/drawing/2014/main" id="{E1E4341C-926B-D848-1244-5243CC580DDE}"/>
                </a:ext>
              </a:extLst>
            </xdr:cNvPr>
            <xdr:cNvGraphicFramePr/>
          </xdr:nvGraphicFramePr>
          <xdr:xfrm>
            <a:off x="0" y="0"/>
            <a:ext cx="0" cy="0"/>
          </xdr:xfrm>
          <a:graphic>
            <a:graphicData uri="http://schemas.microsoft.com/office/drawing/2010/slicer">
              <sle:slicer xmlns:sle="http://schemas.microsoft.com/office/drawing/2010/slicer" name="nama.barang"/>
            </a:graphicData>
          </a:graphic>
        </xdr:graphicFrame>
      </mc:Choice>
      <mc:Fallback xmlns="">
        <xdr:sp macro="" textlink="">
          <xdr:nvSpPr>
            <xdr:cNvPr id="0" name=""/>
            <xdr:cNvSpPr>
              <a:spLocks noTextEdit="1"/>
            </xdr:cNvSpPr>
          </xdr:nvSpPr>
          <xdr:spPr>
            <a:xfrm>
              <a:off x="5105400" y="1226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373380</xdr:colOff>
      <xdr:row>1</xdr:row>
      <xdr:rowOff>110490</xdr:rowOff>
    </xdr:from>
    <xdr:to>
      <xdr:col>8</xdr:col>
      <xdr:colOff>419100</xdr:colOff>
      <xdr:row>16</xdr:row>
      <xdr:rowOff>110490</xdr:rowOff>
    </xdr:to>
    <xdr:graphicFrame macro="">
      <xdr:nvGraphicFramePr>
        <xdr:cNvPr id="2" name="Chart 1">
          <a:extLst>
            <a:ext uri="{FF2B5EF4-FFF2-40B4-BE49-F238E27FC236}">
              <a16:creationId xmlns:a16="http://schemas.microsoft.com/office/drawing/2014/main" id="{A13F1AD5-4173-2F88-F939-94069ED08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140970</xdr:colOff>
      <xdr:row>25</xdr:row>
      <xdr:rowOff>0</xdr:rowOff>
    </xdr:from>
    <xdr:to>
      <xdr:col>15</xdr:col>
      <xdr:colOff>80010</xdr:colOff>
      <xdr:row>40</xdr:row>
      <xdr:rowOff>0</xdr:rowOff>
    </xdr:to>
    <xdr:graphicFrame macro="">
      <xdr:nvGraphicFramePr>
        <xdr:cNvPr id="3" name="Chart 2">
          <a:extLst>
            <a:ext uri="{FF2B5EF4-FFF2-40B4-BE49-F238E27FC236}">
              <a16:creationId xmlns:a16="http://schemas.microsoft.com/office/drawing/2014/main" id="{3901FE5C-2E52-4163-EC32-B0FFC01A4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xdr:colOff>
      <xdr:row>45</xdr:row>
      <xdr:rowOff>0</xdr:rowOff>
    </xdr:from>
    <xdr:to>
      <xdr:col>14</xdr:col>
      <xdr:colOff>883920</xdr:colOff>
      <xdr:row>60</xdr:row>
      <xdr:rowOff>0</xdr:rowOff>
    </xdr:to>
    <xdr:graphicFrame macro="">
      <xdr:nvGraphicFramePr>
        <xdr:cNvPr id="4" name="Chart 3">
          <a:extLst>
            <a:ext uri="{FF2B5EF4-FFF2-40B4-BE49-F238E27FC236}">
              <a16:creationId xmlns:a16="http://schemas.microsoft.com/office/drawing/2014/main" id="{0C9CB7A4-FA4B-0F04-E4C5-CD4B9ED97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518160</xdr:colOff>
      <xdr:row>7</xdr:row>
      <xdr:rowOff>167640</xdr:rowOff>
    </xdr:from>
    <xdr:to>
      <xdr:col>16</xdr:col>
      <xdr:colOff>281940</xdr:colOff>
      <xdr:row>26</xdr:row>
      <xdr:rowOff>114300</xdr:rowOff>
    </xdr:to>
    <xdr:sp macro="" textlink="">
      <xdr:nvSpPr>
        <xdr:cNvPr id="15" name="Rectangle: Rounded Corners 14">
          <a:extLst>
            <a:ext uri="{FF2B5EF4-FFF2-40B4-BE49-F238E27FC236}">
              <a16:creationId xmlns:a16="http://schemas.microsoft.com/office/drawing/2014/main" id="{6D15D7E6-904C-48B6-AC63-4807C2D3ABAB}"/>
            </a:ext>
          </a:extLst>
        </xdr:cNvPr>
        <xdr:cNvSpPr/>
      </xdr:nvSpPr>
      <xdr:spPr>
        <a:xfrm>
          <a:off x="6614160" y="1447800"/>
          <a:ext cx="3421380" cy="3467100"/>
        </a:xfrm>
        <a:prstGeom prst="roundRect">
          <a:avLst>
            <a:gd name="adj" fmla="val 1843"/>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22860</xdr:colOff>
      <xdr:row>17</xdr:row>
      <xdr:rowOff>38100</xdr:rowOff>
    </xdr:from>
    <xdr:to>
      <xdr:col>10</xdr:col>
      <xdr:colOff>441960</xdr:colOff>
      <xdr:row>26</xdr:row>
      <xdr:rowOff>60961</xdr:rowOff>
    </xdr:to>
    <xdr:sp macro="" textlink="">
      <xdr:nvSpPr>
        <xdr:cNvPr id="14" name="Rectangle: Rounded Corners 13">
          <a:extLst>
            <a:ext uri="{FF2B5EF4-FFF2-40B4-BE49-F238E27FC236}">
              <a16:creationId xmlns:a16="http://schemas.microsoft.com/office/drawing/2014/main" id="{A7A243D5-C345-4D1C-97DB-7805FE4C2A70}"/>
            </a:ext>
          </a:extLst>
        </xdr:cNvPr>
        <xdr:cNvSpPr/>
      </xdr:nvSpPr>
      <xdr:spPr>
        <a:xfrm>
          <a:off x="632460" y="3192780"/>
          <a:ext cx="5905500" cy="1668781"/>
        </a:xfrm>
        <a:prstGeom prst="roundRect">
          <a:avLst>
            <a:gd name="adj" fmla="val 718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59048</xdr:colOff>
      <xdr:row>0</xdr:row>
      <xdr:rowOff>7620</xdr:rowOff>
    </xdr:from>
    <xdr:to>
      <xdr:col>14</xdr:col>
      <xdr:colOff>571493</xdr:colOff>
      <xdr:row>5</xdr:row>
      <xdr:rowOff>53340</xdr:rowOff>
    </xdr:to>
    <xdr:sp macro="" textlink="">
      <xdr:nvSpPr>
        <xdr:cNvPr id="2" name="Rectangle: Top Corners Rounded 1">
          <a:extLst>
            <a:ext uri="{FF2B5EF4-FFF2-40B4-BE49-F238E27FC236}">
              <a16:creationId xmlns:a16="http://schemas.microsoft.com/office/drawing/2014/main" id="{DE3EDD77-24FF-EB1F-DC47-F992EA735535}"/>
            </a:ext>
          </a:extLst>
        </xdr:cNvPr>
        <xdr:cNvSpPr/>
      </xdr:nvSpPr>
      <xdr:spPr>
        <a:xfrm rot="10800000">
          <a:off x="668648" y="7620"/>
          <a:ext cx="8437245" cy="960120"/>
        </a:xfrm>
        <a:prstGeom prst="round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xdr:colOff>
      <xdr:row>7</xdr:row>
      <xdr:rowOff>160020</xdr:rowOff>
    </xdr:from>
    <xdr:to>
      <xdr:col>10</xdr:col>
      <xdr:colOff>434340</xdr:colOff>
      <xdr:row>16</xdr:row>
      <xdr:rowOff>121921</xdr:rowOff>
    </xdr:to>
    <xdr:sp macro="" textlink="">
      <xdr:nvSpPr>
        <xdr:cNvPr id="7" name="Rectangle: Rounded Corners 6">
          <a:extLst>
            <a:ext uri="{FF2B5EF4-FFF2-40B4-BE49-F238E27FC236}">
              <a16:creationId xmlns:a16="http://schemas.microsoft.com/office/drawing/2014/main" id="{8F1FD125-BA2F-408C-8933-1F419310DBA1}"/>
            </a:ext>
          </a:extLst>
        </xdr:cNvPr>
        <xdr:cNvSpPr/>
      </xdr:nvSpPr>
      <xdr:spPr>
        <a:xfrm>
          <a:off x="624840" y="1440180"/>
          <a:ext cx="5905500" cy="1653541"/>
        </a:xfrm>
        <a:prstGeom prst="roundRect">
          <a:avLst>
            <a:gd name="adj" fmla="val 718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373380</xdr:colOff>
      <xdr:row>7</xdr:row>
      <xdr:rowOff>144780</xdr:rowOff>
    </xdr:from>
    <xdr:to>
      <xdr:col>20</xdr:col>
      <xdr:colOff>320040</xdr:colOff>
      <xdr:row>26</xdr:row>
      <xdr:rowOff>91440</xdr:rowOff>
    </xdr:to>
    <xdr:sp macro="" textlink="">
      <xdr:nvSpPr>
        <xdr:cNvPr id="16" name="Rectangle: Rounded Corners 15">
          <a:extLst>
            <a:ext uri="{FF2B5EF4-FFF2-40B4-BE49-F238E27FC236}">
              <a16:creationId xmlns:a16="http://schemas.microsoft.com/office/drawing/2014/main" id="{99B2DEC3-BD72-4DCA-A249-A8B5914D61BB}"/>
            </a:ext>
          </a:extLst>
        </xdr:cNvPr>
        <xdr:cNvSpPr/>
      </xdr:nvSpPr>
      <xdr:spPr>
        <a:xfrm>
          <a:off x="10126980" y="1424940"/>
          <a:ext cx="4053840" cy="3467100"/>
        </a:xfrm>
        <a:prstGeom prst="roundRect">
          <a:avLst>
            <a:gd name="adj" fmla="val 1843"/>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350520</xdr:colOff>
      <xdr:row>3</xdr:row>
      <xdr:rowOff>45720</xdr:rowOff>
    </xdr:from>
    <xdr:to>
      <xdr:col>4</xdr:col>
      <xdr:colOff>236220</xdr:colOff>
      <xdr:row>7</xdr:row>
      <xdr:rowOff>38100</xdr:rowOff>
    </xdr:to>
    <xdr:grpSp>
      <xdr:nvGrpSpPr>
        <xdr:cNvPr id="20" name="Group 19">
          <a:extLst>
            <a:ext uri="{FF2B5EF4-FFF2-40B4-BE49-F238E27FC236}">
              <a16:creationId xmlns:a16="http://schemas.microsoft.com/office/drawing/2014/main" id="{B027F718-F303-AFF0-4EC4-846D243CD39D}"/>
            </a:ext>
          </a:extLst>
        </xdr:cNvPr>
        <xdr:cNvGrpSpPr/>
      </xdr:nvGrpSpPr>
      <xdr:grpSpPr>
        <a:xfrm>
          <a:off x="960120" y="594360"/>
          <a:ext cx="1714500" cy="723900"/>
          <a:chOff x="2598420" y="634365"/>
          <a:chExt cx="1714500" cy="716280"/>
        </a:xfrm>
      </xdr:grpSpPr>
      <xdr:sp macro="" textlink="">
        <xdr:nvSpPr>
          <xdr:cNvPr id="3" name="Rectangle: Rounded Corners 2">
            <a:extLst>
              <a:ext uri="{FF2B5EF4-FFF2-40B4-BE49-F238E27FC236}">
                <a16:creationId xmlns:a16="http://schemas.microsoft.com/office/drawing/2014/main" id="{758C125E-E4E3-0E8A-4FBC-B9658ED0481F}"/>
              </a:ext>
            </a:extLst>
          </xdr:cNvPr>
          <xdr:cNvSpPr/>
        </xdr:nvSpPr>
        <xdr:spPr>
          <a:xfrm>
            <a:off x="2598420" y="634365"/>
            <a:ext cx="17145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E62ED5B0-CEC4-B5A1-C4B2-CCF5CD9C9A1B}"/>
              </a:ext>
            </a:extLst>
          </xdr:cNvPr>
          <xdr:cNvSpPr txBox="1"/>
        </xdr:nvSpPr>
        <xdr:spPr>
          <a:xfrm>
            <a:off x="2687003" y="1033463"/>
            <a:ext cx="1537335"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cs typeface="Arial" panose="020B0604020202020204" pitchFamily="34" charset="0"/>
              </a:rPr>
              <a:t>Barang Terjual</a:t>
            </a:r>
          </a:p>
        </xdr:txBody>
      </xdr:sp>
      <xdr:sp macro="" textlink="Pivot!D84">
        <xdr:nvSpPr>
          <xdr:cNvPr id="18" name="TextBox 17">
            <a:extLst>
              <a:ext uri="{FF2B5EF4-FFF2-40B4-BE49-F238E27FC236}">
                <a16:creationId xmlns:a16="http://schemas.microsoft.com/office/drawing/2014/main" id="{E812B8D5-F580-4DA9-8DFA-E1B443AEF36C}"/>
              </a:ext>
            </a:extLst>
          </xdr:cNvPr>
          <xdr:cNvSpPr txBox="1"/>
        </xdr:nvSpPr>
        <xdr:spPr>
          <a:xfrm>
            <a:off x="2613660" y="689609"/>
            <a:ext cx="1699260" cy="389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2E16BC-D074-487E-9FA9-A78C00FCD274}" type="TxLink">
              <a:rPr lang="en-US" sz="1800" b="1" i="0" u="none" strike="noStrike">
                <a:ln>
                  <a:noFill/>
                </a:ln>
                <a:solidFill>
                  <a:srgbClr val="000000"/>
                </a:solidFill>
                <a:latin typeface="Calibri"/>
                <a:ea typeface="Calibri"/>
                <a:cs typeface="Calibri"/>
              </a:rPr>
              <a:pPr algn="ctr"/>
              <a:t>95.25%</a:t>
            </a:fld>
            <a:endParaRPr lang="en-US" sz="2000" b="1">
              <a:ln>
                <a:noFill/>
              </a:ln>
              <a:latin typeface="+mn-lt"/>
              <a:cs typeface="Arial" panose="020B0604020202020204" pitchFamily="34" charset="0"/>
            </a:endParaRPr>
          </a:p>
        </xdr:txBody>
      </xdr:sp>
    </xdr:grpSp>
    <xdr:clientData/>
  </xdr:twoCellAnchor>
  <xdr:twoCellAnchor>
    <xdr:from>
      <xdr:col>4</xdr:col>
      <xdr:colOff>550545</xdr:colOff>
      <xdr:row>3</xdr:row>
      <xdr:rowOff>69532</xdr:rowOff>
    </xdr:from>
    <xdr:to>
      <xdr:col>7</xdr:col>
      <xdr:colOff>441960</xdr:colOff>
      <xdr:row>7</xdr:row>
      <xdr:rowOff>61912</xdr:rowOff>
    </xdr:to>
    <xdr:grpSp>
      <xdr:nvGrpSpPr>
        <xdr:cNvPr id="21" name="Group 20">
          <a:extLst>
            <a:ext uri="{FF2B5EF4-FFF2-40B4-BE49-F238E27FC236}">
              <a16:creationId xmlns:a16="http://schemas.microsoft.com/office/drawing/2014/main" id="{02472DA5-C9EF-43B6-AB70-510ECF7835EF}"/>
            </a:ext>
          </a:extLst>
        </xdr:cNvPr>
        <xdr:cNvGrpSpPr/>
      </xdr:nvGrpSpPr>
      <xdr:grpSpPr>
        <a:xfrm>
          <a:off x="2988945" y="618172"/>
          <a:ext cx="1720215" cy="723900"/>
          <a:chOff x="2598420" y="634365"/>
          <a:chExt cx="1720215" cy="716280"/>
        </a:xfrm>
      </xdr:grpSpPr>
      <xdr:sp macro="" textlink="">
        <xdr:nvSpPr>
          <xdr:cNvPr id="22" name="Rectangle: Rounded Corners 21">
            <a:extLst>
              <a:ext uri="{FF2B5EF4-FFF2-40B4-BE49-F238E27FC236}">
                <a16:creationId xmlns:a16="http://schemas.microsoft.com/office/drawing/2014/main" id="{E6273A66-8ECF-53E9-47FD-01971BD0D442}"/>
              </a:ext>
            </a:extLst>
          </xdr:cNvPr>
          <xdr:cNvSpPr/>
        </xdr:nvSpPr>
        <xdr:spPr>
          <a:xfrm>
            <a:off x="2598420" y="634365"/>
            <a:ext cx="17145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4F722374-980E-FD63-E5D6-6D64420EBC86}"/>
              </a:ext>
            </a:extLst>
          </xdr:cNvPr>
          <xdr:cNvSpPr txBox="1"/>
        </xdr:nvSpPr>
        <xdr:spPr>
          <a:xfrm>
            <a:off x="2611755" y="1033463"/>
            <a:ext cx="170688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cs typeface="Arial" panose="020B0604020202020204" pitchFamily="34" charset="0"/>
              </a:rPr>
              <a:t>Kuantun</a:t>
            </a:r>
            <a:r>
              <a:rPr lang="en-US" sz="1400" b="1" baseline="0">
                <a:latin typeface="+mn-lt"/>
                <a:cs typeface="Arial" panose="020B0604020202020204" pitchFamily="34" charset="0"/>
              </a:rPr>
              <a:t> Pengadaan</a:t>
            </a:r>
            <a:endParaRPr lang="en-US" sz="1400" b="1">
              <a:latin typeface="+mn-lt"/>
              <a:cs typeface="Arial" panose="020B0604020202020204" pitchFamily="34" charset="0"/>
            </a:endParaRPr>
          </a:p>
        </xdr:txBody>
      </xdr:sp>
      <xdr:sp macro="" textlink="Pivot!B82">
        <xdr:nvSpPr>
          <xdr:cNvPr id="24" name="TextBox 23">
            <a:extLst>
              <a:ext uri="{FF2B5EF4-FFF2-40B4-BE49-F238E27FC236}">
                <a16:creationId xmlns:a16="http://schemas.microsoft.com/office/drawing/2014/main" id="{6EDEF930-E15F-7F1A-1BE3-92A6CD613430}"/>
              </a:ext>
            </a:extLst>
          </xdr:cNvPr>
          <xdr:cNvSpPr txBox="1"/>
        </xdr:nvSpPr>
        <xdr:spPr>
          <a:xfrm>
            <a:off x="2626995" y="689609"/>
            <a:ext cx="1661160" cy="343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07E36-AD43-4FF5-B881-ED8EB6FA2E05}" type="TxLink">
              <a:rPr lang="en-US" sz="1800" b="1" i="0" u="none" strike="noStrike">
                <a:ln>
                  <a:noFill/>
                </a:ln>
                <a:solidFill>
                  <a:srgbClr val="000000"/>
                </a:solidFill>
                <a:latin typeface="Calibri"/>
                <a:ea typeface="Calibri"/>
                <a:cs typeface="Calibri"/>
              </a:rPr>
              <a:pPr algn="ctr"/>
              <a:t> 2,347,906 </a:t>
            </a:fld>
            <a:endParaRPr lang="en-US" sz="2000" b="1">
              <a:ln>
                <a:noFill/>
              </a:ln>
              <a:latin typeface="+mn-lt"/>
              <a:cs typeface="Arial" panose="020B0604020202020204" pitchFamily="34" charset="0"/>
            </a:endParaRPr>
          </a:p>
        </xdr:txBody>
      </xdr:sp>
    </xdr:grpSp>
    <xdr:clientData/>
  </xdr:twoCellAnchor>
  <xdr:twoCellAnchor>
    <xdr:from>
      <xdr:col>8</xdr:col>
      <xdr:colOff>152400</xdr:colOff>
      <xdr:row>3</xdr:row>
      <xdr:rowOff>83819</xdr:rowOff>
    </xdr:from>
    <xdr:to>
      <xdr:col>11</xdr:col>
      <xdr:colOff>40957</xdr:colOff>
      <xdr:row>7</xdr:row>
      <xdr:rowOff>76199</xdr:rowOff>
    </xdr:to>
    <xdr:grpSp>
      <xdr:nvGrpSpPr>
        <xdr:cNvPr id="25" name="Group 24">
          <a:extLst>
            <a:ext uri="{FF2B5EF4-FFF2-40B4-BE49-F238E27FC236}">
              <a16:creationId xmlns:a16="http://schemas.microsoft.com/office/drawing/2014/main" id="{D8FBB9FC-DC89-4306-B96A-C4D86BDF5923}"/>
            </a:ext>
          </a:extLst>
        </xdr:cNvPr>
        <xdr:cNvGrpSpPr/>
      </xdr:nvGrpSpPr>
      <xdr:grpSpPr>
        <a:xfrm>
          <a:off x="5029200" y="632459"/>
          <a:ext cx="1717357" cy="723900"/>
          <a:chOff x="2595563" y="634365"/>
          <a:chExt cx="1717357" cy="716280"/>
        </a:xfrm>
      </xdr:grpSpPr>
      <xdr:sp macro="" textlink="">
        <xdr:nvSpPr>
          <xdr:cNvPr id="26" name="Rectangle: Rounded Corners 25">
            <a:extLst>
              <a:ext uri="{FF2B5EF4-FFF2-40B4-BE49-F238E27FC236}">
                <a16:creationId xmlns:a16="http://schemas.microsoft.com/office/drawing/2014/main" id="{598DA01A-2BAE-9C93-1924-722CE2ACEB71}"/>
              </a:ext>
            </a:extLst>
          </xdr:cNvPr>
          <xdr:cNvSpPr/>
        </xdr:nvSpPr>
        <xdr:spPr>
          <a:xfrm>
            <a:off x="2598420" y="634365"/>
            <a:ext cx="17145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7291EB9F-88F7-5AAE-D890-A09A6DF07C2F}"/>
              </a:ext>
            </a:extLst>
          </xdr:cNvPr>
          <xdr:cNvSpPr txBox="1"/>
        </xdr:nvSpPr>
        <xdr:spPr>
          <a:xfrm>
            <a:off x="2595563" y="1033463"/>
            <a:ext cx="169164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cs typeface="Arial" panose="020B0604020202020204" pitchFamily="34" charset="0"/>
              </a:rPr>
              <a:t>Kuantum Penjualan</a:t>
            </a:r>
          </a:p>
        </xdr:txBody>
      </xdr:sp>
      <xdr:sp macro="" textlink="Pivot!B86">
        <xdr:nvSpPr>
          <xdr:cNvPr id="28" name="TextBox 27">
            <a:extLst>
              <a:ext uri="{FF2B5EF4-FFF2-40B4-BE49-F238E27FC236}">
                <a16:creationId xmlns:a16="http://schemas.microsoft.com/office/drawing/2014/main" id="{149BE69E-A41F-E9C3-9FD6-B6CD0B0028E7}"/>
              </a:ext>
            </a:extLst>
          </xdr:cNvPr>
          <xdr:cNvSpPr txBox="1"/>
        </xdr:nvSpPr>
        <xdr:spPr>
          <a:xfrm>
            <a:off x="2695576" y="689610"/>
            <a:ext cx="148590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CFBC08-0FBE-4872-84AF-496705CC3BEA}" type="TxLink">
              <a:rPr lang="en-US" sz="1800" b="1" i="0" u="none" strike="noStrike">
                <a:ln>
                  <a:noFill/>
                </a:ln>
                <a:solidFill>
                  <a:srgbClr val="000000"/>
                </a:solidFill>
                <a:latin typeface="Calibri"/>
                <a:ea typeface="Calibri"/>
                <a:cs typeface="Calibri"/>
              </a:rPr>
              <a:pPr algn="ctr"/>
              <a:t> 2,236,497 </a:t>
            </a:fld>
            <a:endParaRPr lang="en-US" sz="2000" b="1">
              <a:ln>
                <a:noFill/>
              </a:ln>
              <a:latin typeface="+mn-lt"/>
              <a:cs typeface="Arial" panose="020B0604020202020204" pitchFamily="34" charset="0"/>
            </a:endParaRPr>
          </a:p>
        </xdr:txBody>
      </xdr:sp>
    </xdr:grpSp>
    <xdr:clientData/>
  </xdr:twoCellAnchor>
  <xdr:twoCellAnchor>
    <xdr:from>
      <xdr:col>11</xdr:col>
      <xdr:colOff>364807</xdr:colOff>
      <xdr:row>3</xdr:row>
      <xdr:rowOff>83819</xdr:rowOff>
    </xdr:from>
    <xdr:to>
      <xdr:col>14</xdr:col>
      <xdr:colOff>250507</xdr:colOff>
      <xdr:row>7</xdr:row>
      <xdr:rowOff>76199</xdr:rowOff>
    </xdr:to>
    <xdr:grpSp>
      <xdr:nvGrpSpPr>
        <xdr:cNvPr id="29" name="Group 28">
          <a:extLst>
            <a:ext uri="{FF2B5EF4-FFF2-40B4-BE49-F238E27FC236}">
              <a16:creationId xmlns:a16="http://schemas.microsoft.com/office/drawing/2014/main" id="{485AB7C7-FF38-471C-AE7F-4282C1EC7D03}"/>
            </a:ext>
          </a:extLst>
        </xdr:cNvPr>
        <xdr:cNvGrpSpPr/>
      </xdr:nvGrpSpPr>
      <xdr:grpSpPr>
        <a:xfrm>
          <a:off x="7070407" y="632459"/>
          <a:ext cx="1714500" cy="723900"/>
          <a:chOff x="2598420" y="634365"/>
          <a:chExt cx="1714500" cy="716280"/>
        </a:xfrm>
      </xdr:grpSpPr>
      <xdr:sp macro="" textlink="">
        <xdr:nvSpPr>
          <xdr:cNvPr id="30" name="Rectangle: Rounded Corners 29">
            <a:extLst>
              <a:ext uri="{FF2B5EF4-FFF2-40B4-BE49-F238E27FC236}">
                <a16:creationId xmlns:a16="http://schemas.microsoft.com/office/drawing/2014/main" id="{58E50A1E-3D7D-4088-D7EF-16C32C5DD72C}"/>
              </a:ext>
            </a:extLst>
          </xdr:cNvPr>
          <xdr:cNvSpPr/>
        </xdr:nvSpPr>
        <xdr:spPr>
          <a:xfrm>
            <a:off x="2598420" y="634365"/>
            <a:ext cx="17145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7FC82997-09D2-F1FE-0F2F-51C1F8FFBB58}"/>
              </a:ext>
            </a:extLst>
          </xdr:cNvPr>
          <xdr:cNvSpPr txBox="1"/>
        </xdr:nvSpPr>
        <xdr:spPr>
          <a:xfrm>
            <a:off x="2687003" y="1033463"/>
            <a:ext cx="1537335"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cs typeface="Arial" panose="020B0604020202020204" pitchFamily="34" charset="0"/>
              </a:rPr>
              <a:t>Total</a:t>
            </a:r>
            <a:r>
              <a:rPr lang="en-US" sz="1400" b="1" baseline="0">
                <a:latin typeface="+mn-lt"/>
                <a:cs typeface="Arial" panose="020B0604020202020204" pitchFamily="34" charset="0"/>
              </a:rPr>
              <a:t> Omset</a:t>
            </a:r>
            <a:endParaRPr lang="en-US" sz="1400" b="1">
              <a:latin typeface="+mn-lt"/>
              <a:cs typeface="Arial" panose="020B0604020202020204" pitchFamily="34" charset="0"/>
            </a:endParaRPr>
          </a:p>
        </xdr:txBody>
      </xdr:sp>
      <xdr:sp macro="" textlink="Pivot!B90">
        <xdr:nvSpPr>
          <xdr:cNvPr id="32" name="TextBox 31">
            <a:extLst>
              <a:ext uri="{FF2B5EF4-FFF2-40B4-BE49-F238E27FC236}">
                <a16:creationId xmlns:a16="http://schemas.microsoft.com/office/drawing/2014/main" id="{A3E5EA1A-0223-82C1-BE0B-88E63EFB169E}"/>
              </a:ext>
            </a:extLst>
          </xdr:cNvPr>
          <xdr:cNvSpPr txBox="1"/>
        </xdr:nvSpPr>
        <xdr:spPr>
          <a:xfrm>
            <a:off x="2606993" y="689610"/>
            <a:ext cx="1691639" cy="38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117B25-E505-48B7-94CC-352E330C62EB}" type="TxLink">
              <a:rPr lang="en-US" sz="1400" b="1" i="0" u="none" strike="noStrike">
                <a:ln>
                  <a:noFill/>
                </a:ln>
                <a:solidFill>
                  <a:srgbClr val="000000"/>
                </a:solidFill>
                <a:latin typeface="Calibri"/>
                <a:ea typeface="Calibri"/>
                <a:cs typeface="Calibri"/>
              </a:rPr>
              <a:pPr algn="ctr"/>
              <a:t> Rp 24,877,315,332 </a:t>
            </a:fld>
            <a:endParaRPr lang="en-US" sz="1600" b="1">
              <a:ln>
                <a:noFill/>
              </a:ln>
              <a:latin typeface="+mn-lt"/>
              <a:cs typeface="Arial" panose="020B0604020202020204" pitchFamily="34" charset="0"/>
            </a:endParaRPr>
          </a:p>
        </xdr:txBody>
      </xdr:sp>
    </xdr:grpSp>
    <xdr:clientData/>
  </xdr:twoCellAnchor>
  <xdr:twoCellAnchor>
    <xdr:from>
      <xdr:col>1</xdr:col>
      <xdr:colOff>0</xdr:colOff>
      <xdr:row>7</xdr:row>
      <xdr:rowOff>160020</xdr:rowOff>
    </xdr:from>
    <xdr:to>
      <xdr:col>10</xdr:col>
      <xdr:colOff>426720</xdr:colOff>
      <xdr:row>16</xdr:row>
      <xdr:rowOff>106680</xdr:rowOff>
    </xdr:to>
    <xdr:graphicFrame macro="">
      <xdr:nvGraphicFramePr>
        <xdr:cNvPr id="4" name="Chart 3">
          <a:extLst>
            <a:ext uri="{FF2B5EF4-FFF2-40B4-BE49-F238E27FC236}">
              <a16:creationId xmlns:a16="http://schemas.microsoft.com/office/drawing/2014/main" id="{5219CE6A-176B-44D5-AD27-79EEE7BB8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17</xdr:row>
      <xdr:rowOff>38100</xdr:rowOff>
    </xdr:from>
    <xdr:to>
      <xdr:col>10</xdr:col>
      <xdr:colOff>441960</xdr:colOff>
      <xdr:row>26</xdr:row>
      <xdr:rowOff>53340</xdr:rowOff>
    </xdr:to>
    <xdr:graphicFrame macro="">
      <xdr:nvGraphicFramePr>
        <xdr:cNvPr id="5" name="Chart 4">
          <a:extLst>
            <a:ext uri="{FF2B5EF4-FFF2-40B4-BE49-F238E27FC236}">
              <a16:creationId xmlns:a16="http://schemas.microsoft.com/office/drawing/2014/main" id="{23AF6862-AF42-4546-AD8C-EC3962C12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518160</xdr:colOff>
      <xdr:row>7</xdr:row>
      <xdr:rowOff>152400</xdr:rowOff>
    </xdr:from>
    <xdr:to>
      <xdr:col>16</xdr:col>
      <xdr:colOff>297180</xdr:colOff>
      <xdr:row>26</xdr:row>
      <xdr:rowOff>114300</xdr:rowOff>
    </xdr:to>
    <xdr:graphicFrame macro="">
      <xdr:nvGraphicFramePr>
        <xdr:cNvPr id="6" name="Chart 5">
          <a:extLst>
            <a:ext uri="{FF2B5EF4-FFF2-40B4-BE49-F238E27FC236}">
              <a16:creationId xmlns:a16="http://schemas.microsoft.com/office/drawing/2014/main" id="{8F79CF74-94FC-43B8-B5C8-1AD0D84B7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373380</xdr:colOff>
      <xdr:row>0</xdr:row>
      <xdr:rowOff>152400</xdr:rowOff>
    </xdr:from>
    <xdr:to>
      <xdr:col>13</xdr:col>
      <xdr:colOff>236220</xdr:colOff>
      <xdr:row>2</xdr:row>
      <xdr:rowOff>79280</xdr:rowOff>
    </xdr:to>
    <xdr:sp macro="" textlink="">
      <xdr:nvSpPr>
        <xdr:cNvPr id="8" name="TextBox 7">
          <a:extLst>
            <a:ext uri="{FF2B5EF4-FFF2-40B4-BE49-F238E27FC236}">
              <a16:creationId xmlns:a16="http://schemas.microsoft.com/office/drawing/2014/main" id="{B858055C-F3E4-406C-BC58-19EF60B74BA3}"/>
            </a:ext>
          </a:extLst>
        </xdr:cNvPr>
        <xdr:cNvSpPr txBox="1"/>
      </xdr:nvSpPr>
      <xdr:spPr>
        <a:xfrm>
          <a:off x="982980" y="152400"/>
          <a:ext cx="7178040" cy="292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latin typeface="+mn-lt"/>
              <a:cs typeface="Arial" panose="020B0604020202020204" pitchFamily="34" charset="0"/>
            </a:rPr>
            <a:t>DASHBOARD</a:t>
          </a:r>
          <a:r>
            <a:rPr lang="en-US" sz="2400" b="1" baseline="0">
              <a:solidFill>
                <a:schemeClr val="bg1"/>
              </a:solidFill>
              <a:latin typeface="+mn-lt"/>
              <a:cs typeface="Arial" panose="020B0604020202020204" pitchFamily="34" charset="0"/>
            </a:rPr>
            <a:t> | PENGADAAN &amp; PENJUALAN SEMBAKO</a:t>
          </a:r>
          <a:endParaRPr lang="en-US" sz="2400" b="1">
            <a:solidFill>
              <a:schemeClr val="bg1"/>
            </a:solidFill>
            <a:latin typeface="+mn-lt"/>
            <a:cs typeface="Arial" panose="020B0604020202020204" pitchFamily="34" charset="0"/>
          </a:endParaRPr>
        </a:p>
      </xdr:txBody>
    </xdr:sp>
    <xdr:clientData/>
  </xdr:twoCellAnchor>
  <xdr:twoCellAnchor editAs="oneCell">
    <xdr:from>
      <xdr:col>15</xdr:col>
      <xdr:colOff>160020</xdr:colOff>
      <xdr:row>0</xdr:row>
      <xdr:rowOff>99061</xdr:rowOff>
    </xdr:from>
    <xdr:to>
      <xdr:col>17</xdr:col>
      <xdr:colOff>769620</xdr:colOff>
      <xdr:row>6</xdr:row>
      <xdr:rowOff>167641</xdr:rowOff>
    </xdr:to>
    <mc:AlternateContent xmlns:mc="http://schemas.openxmlformats.org/markup-compatibility/2006" xmlns:a14="http://schemas.microsoft.com/office/drawing/2010/main">
      <mc:Choice Requires="a14">
        <xdr:graphicFrame macro="">
          <xdr:nvGraphicFramePr>
            <xdr:cNvPr id="19" name="nama.barang 1">
              <a:extLst>
                <a:ext uri="{FF2B5EF4-FFF2-40B4-BE49-F238E27FC236}">
                  <a16:creationId xmlns:a16="http://schemas.microsoft.com/office/drawing/2014/main" id="{5F8096C0-9976-4280-B396-15B7A7B15D89}"/>
                </a:ext>
              </a:extLst>
            </xdr:cNvPr>
            <xdr:cNvGraphicFramePr/>
          </xdr:nvGraphicFramePr>
          <xdr:xfrm>
            <a:off x="0" y="0"/>
            <a:ext cx="0" cy="0"/>
          </xdr:xfrm>
          <a:graphic>
            <a:graphicData uri="http://schemas.microsoft.com/office/drawing/2010/slicer">
              <sle:slicer xmlns:sle="http://schemas.microsoft.com/office/drawing/2010/slicer" name="nama.barang 1"/>
            </a:graphicData>
          </a:graphic>
        </xdr:graphicFrame>
      </mc:Choice>
      <mc:Fallback xmlns="">
        <xdr:sp macro="" textlink="">
          <xdr:nvSpPr>
            <xdr:cNvPr id="0" name=""/>
            <xdr:cNvSpPr>
              <a:spLocks noTextEdit="1"/>
            </xdr:cNvSpPr>
          </xdr:nvSpPr>
          <xdr:spPr>
            <a:xfrm>
              <a:off x="9304020" y="9906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883920</xdr:colOff>
      <xdr:row>0</xdr:row>
      <xdr:rowOff>91441</xdr:rowOff>
    </xdr:from>
    <xdr:to>
      <xdr:col>18</xdr:col>
      <xdr:colOff>586740</xdr:colOff>
      <xdr:row>6</xdr:row>
      <xdr:rowOff>167641</xdr:rowOff>
    </xdr:to>
    <mc:AlternateContent xmlns:mc="http://schemas.openxmlformats.org/markup-compatibility/2006" xmlns:a14="http://schemas.microsoft.com/office/drawing/2010/main">
      <mc:Choice Requires="a14">
        <xdr:graphicFrame macro="">
          <xdr:nvGraphicFramePr>
            <xdr:cNvPr id="33" name="tanggal (Quarter) 1">
              <a:extLst>
                <a:ext uri="{FF2B5EF4-FFF2-40B4-BE49-F238E27FC236}">
                  <a16:creationId xmlns:a16="http://schemas.microsoft.com/office/drawing/2014/main" id="{2C6FA717-8AD5-406A-B325-0EBCD441682D}"/>
                </a:ext>
              </a:extLst>
            </xdr:cNvPr>
            <xdr:cNvGraphicFramePr/>
          </xdr:nvGraphicFramePr>
          <xdr:xfrm>
            <a:off x="0" y="0"/>
            <a:ext cx="0" cy="0"/>
          </xdr:xfrm>
          <a:graphic>
            <a:graphicData uri="http://schemas.microsoft.com/office/drawing/2010/slicer">
              <sle:slicer xmlns:sle="http://schemas.microsoft.com/office/drawing/2010/slicer" name="tanggal (Quarter) 1"/>
            </a:graphicData>
          </a:graphic>
        </xdr:graphicFrame>
      </mc:Choice>
      <mc:Fallback xmlns="">
        <xdr:sp macro="" textlink="">
          <xdr:nvSpPr>
            <xdr:cNvPr id="0" name=""/>
            <xdr:cNvSpPr>
              <a:spLocks noTextEdit="1"/>
            </xdr:cNvSpPr>
          </xdr:nvSpPr>
          <xdr:spPr>
            <a:xfrm>
              <a:off x="11247120" y="91441"/>
              <a:ext cx="136398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76200</xdr:colOff>
      <xdr:row>0</xdr:row>
      <xdr:rowOff>91441</xdr:rowOff>
    </xdr:from>
    <xdr:to>
      <xdr:col>20</xdr:col>
      <xdr:colOff>342900</xdr:colOff>
      <xdr:row>7</xdr:row>
      <xdr:rowOff>7621</xdr:rowOff>
    </xdr:to>
    <mc:AlternateContent xmlns:mc="http://schemas.openxmlformats.org/markup-compatibility/2006" xmlns:a14="http://schemas.microsoft.com/office/drawing/2010/main">
      <mc:Choice Requires="a14">
        <xdr:graphicFrame macro="">
          <xdr:nvGraphicFramePr>
            <xdr:cNvPr id="9" name="tanggal (Year)">
              <a:extLst>
                <a:ext uri="{FF2B5EF4-FFF2-40B4-BE49-F238E27FC236}">
                  <a16:creationId xmlns:a16="http://schemas.microsoft.com/office/drawing/2014/main" id="{6B5D4CAA-E6BF-475F-0D7A-E75E0D78DD38}"/>
                </a:ext>
              </a:extLst>
            </xdr:cNvPr>
            <xdr:cNvGraphicFramePr/>
          </xdr:nvGraphicFramePr>
          <xdr:xfrm>
            <a:off x="0" y="0"/>
            <a:ext cx="0" cy="0"/>
          </xdr:xfrm>
          <a:graphic>
            <a:graphicData uri="http://schemas.microsoft.com/office/drawing/2010/slicer">
              <sle:slicer xmlns:sle="http://schemas.microsoft.com/office/drawing/2010/slicer" name="tanggal (Year)"/>
            </a:graphicData>
          </a:graphic>
        </xdr:graphicFrame>
      </mc:Choice>
      <mc:Fallback xmlns="">
        <xdr:sp macro="" textlink="">
          <xdr:nvSpPr>
            <xdr:cNvPr id="0" name=""/>
            <xdr:cNvSpPr>
              <a:spLocks noTextEdit="1"/>
            </xdr:cNvSpPr>
          </xdr:nvSpPr>
          <xdr:spPr>
            <a:xfrm>
              <a:off x="12702540" y="91440"/>
              <a:ext cx="1356360" cy="3550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6.384443402778" createdVersion="8" refreshedVersion="8" minRefreshableVersion="3" recordCount="5" xr:uid="{F7E389D3-F906-448E-8CCA-347A2B0150E6}">
  <cacheSource type="worksheet">
    <worksheetSource name="Master_Barang"/>
  </cacheSource>
  <cacheFields count="1">
    <cacheField name="nama.barang" numFmtId="0">
      <sharedItems/>
    </cacheField>
  </cacheFields>
  <extLst>
    <ext xmlns:x14="http://schemas.microsoft.com/office/spreadsheetml/2009/9/main" uri="{725AE2AE-9491-48be-B2B4-4EB974FC3084}">
      <x14:pivotCacheDefinition pivotCacheId="14723900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6.384443634262" createdVersion="8" refreshedVersion="8" minRefreshableVersion="3" recordCount="63" xr:uid="{99A113AF-A651-41F9-A8E1-5FB1E35ACDC0}">
  <cacheSource type="worksheet">
    <worksheetSource name="pengadaan_barang"/>
  </cacheSource>
  <cacheFields count="3">
    <cacheField name="tanggal" numFmtId="14">
      <sharedItems containsSemiMixedTypes="0" containsNonDate="0" containsDate="1" containsString="0" minDate="2020-01-10T00:00:00" maxDate="2021-03-25T00:00:00"/>
    </cacheField>
    <cacheField name="nama.barang" numFmtId="0">
      <sharedItems/>
    </cacheField>
    <cacheField name="kuantum" numFmtId="1">
      <sharedItems containsSemiMixedTypes="0" containsString="0" containsNumber="1" containsInteger="1" minValue="25" maxValue="25613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6.384443634262" createdVersion="8" refreshedVersion="8" minRefreshableVersion="3" recordCount="1289" xr:uid="{BB7EDE18-2588-4CED-AB01-05A94509FF40}">
  <cacheSource type="worksheet">
    <worksheetSource name="penjualan_barang"/>
  </cacheSource>
  <cacheFields count="5">
    <cacheField name="tanggal" numFmtId="14">
      <sharedItems containsSemiMixedTypes="0" containsNonDate="0" containsDate="1" containsString="0" minDate="2020-01-02T00:00:00" maxDate="2021-04-10T00:00:00"/>
    </cacheField>
    <cacheField name="nama.pembeli" numFmtId="0">
      <sharedItems/>
    </cacheField>
    <cacheField name="nama.barang" numFmtId="0">
      <sharedItems/>
    </cacheField>
    <cacheField name="kuantum" numFmtId="1">
      <sharedItems containsSemiMixedTypes="0" containsString="0" containsNumber="1" containsInteger="1" minValue="2" maxValue="200000"/>
    </cacheField>
    <cacheField name="nominal" numFmtId="164">
      <sharedItems containsSemiMixedTypes="0" containsString="0" containsNumber="1" containsInteger="1" minValue="46000" maxValue="2047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384775810184" backgroundQuery="1" createdVersion="8" refreshedVersion="8" minRefreshableVersion="3" recordCount="0" supportSubquery="1" supportAdvancedDrill="1" xr:uid="{05288913-5FC0-4659-8B09-0BD201C4481F}">
  <cacheSource type="external" connectionId="6"/>
  <cacheFields count="1">
    <cacheField name="[Master_Calendar].[tanggal (Quarter)].[tanggal (Quarter)]" caption="tanggal (Quarter)" numFmtId="0" hierarchy="3" level="1">
      <sharedItems count="4">
        <s v="Qtr1"/>
        <s v="Qtr2"/>
        <s v="Qtr3"/>
        <s v="Qtr4"/>
      </sharedItems>
    </cacheField>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cacheHierarchy uniqueName="[Master_Calendar].[tanggal]" caption="tanggal" attribute="1" time="1" defaultMemberUniqueName="[Master_Calendar].[tanggal].[All]" allUniqueName="[Master_Calendar].[tanggal].[All]" dimensionUniqueName="[Master_Calendar]" displayFolder="" count="2"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fieldsUsage count="2">
        <fieldUsage x="-1"/>
        <fieldUsage x="0"/>
      </fieldsUsage>
    </cacheHierarchy>
    <cacheHierarchy uniqueName="[Master_Calendar].[tanggal (Month)]" caption="tanggal (Month)" attribute="1" defaultMemberUniqueName="[Master_Calendar].[tanggal (Month)].[All]" allUniqueName="[Master_Calendar].[tanggal (Month)].[All]" dimensionUniqueName="[Master_Calendar]" displayFolder="" count="2" memberValueDatatype="130" unbalanced="0"/>
    <cacheHierarchy uniqueName="[Master_Pembeli].[nama.pembeli]" caption="nama.pembeli" attribute="1" defaultMemberUniqueName="[Master_Pembeli].[nama.pembeli].[All]" allUniqueName="[Master_Pembeli].[nama.pembeli].[All]" dimensionUniqueName="[Master_Pembeli]" displayFolder="" count="2" memberValueDatatype="130" unbalanced="0"/>
    <cacheHierarchy uniqueName="[pengadaan_barang].[tanggal]" caption="tanggal" attribute="1" time="1" defaultMemberUniqueName="[pengadaan_barang].[tanggal].[All]" allUniqueName="[pengadaan_barang].[tanggal].[All]" dimensionUniqueName="[pengadaan_barang]" displayFolder="" count="2" memberValueDatatype="7" unbalanced="0"/>
    <cacheHierarchy uniqueName="[pengadaan_barang].[nama.barang]" caption="nama.barang" attribute="1" defaultMemberUniqueName="[pengadaan_barang].[nama.barang].[All]" allUniqueName="[pengadaan_barang].[nama.barang].[All]" dimensionUniqueName="[pengadaan_barang]" displayFolder="" count="2"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2" memberValueDatatype="20" unbalanced="0"/>
    <cacheHierarchy uniqueName="[penjualan_barang].[tanggal]" caption="tanggal" attribute="1" time="1" defaultMemberUniqueName="[penjualan_barang].[tanggal].[All]" allUniqueName="[penjualan_barang].[tanggal].[All]" dimensionUniqueName="[penjualan_barang]" displayFolder="" count="2" memberValueDatatype="7" unbalanced="0"/>
    <cacheHierarchy uniqueName="[penjualan_barang].[nama.pembeli]" caption="nama.pembeli" attribute="1" defaultMemberUniqueName="[penjualan_barang].[nama.pembeli].[All]" allUniqueName="[penjualan_barang].[nama.pembeli].[All]" dimensionUniqueName="[penjualan_barang]" displayFolder="" count="2" memberValueDatatype="130" unbalanced="0"/>
    <cacheHierarchy uniqueName="[penjualan_barang].[nama.barang]" caption="nama.barang" attribute="1" defaultMemberUniqueName="[penjualan_barang].[nama.barang].[All]" allUniqueName="[penjualan_barang].[nama.barang].[All]" dimensionUniqueName="[penjualan_barang]" displayFolder="" count="2"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2" memberValueDatatype="20" unbalanced="0"/>
    <cacheHierarchy uniqueName="[penjualan_barang].[nominal]" caption="nominal" attribute="1" defaultMemberUniqueName="[penjualan_barang].[nominal].[All]" allUniqueName="[penjualan_barang].[nominal].[All]" dimensionUniqueName="[penjualan_barang]" displayFolder="" count="2" memberValueDatatype="20" unbalanced="0"/>
    <cacheHierarchy uniqueName="[penjualan_barang].[tanggal (Year)]" caption="tanggal (Year)" attribute="1" defaultMemberUniqueName="[penjualan_barang].[tanggal (Year)].[All]" allUniqueName="[penjualan_barang].[tanggal (Year)].[All]" dimensionUniqueName="[penjualan_barang]" displayFolder="" count="2"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cacheHierarchy uniqueName="[penjualan_barang].[tanggal (Month)]" caption="tanggal (Month)" attribute="1" defaultMemberUniqueName="[penjualan_barang].[tanggal (Month)].[All]" allUniqueName="[penjualan_barang].[tanggal (Month)].[All]" dimensionUniqueName="[penjualan_barang]" displayFolder="" count="2"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2"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2" memberValueDatatype="20" unbalanced="0" hidden="1"/>
    <cacheHierarchy uniqueName="[Measures].[Sum of nominal]" caption="Sum of nominal" measure="1" displayFolder="" measureGroup="penjualan_barang" count="0">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38782974537" backgroundQuery="1" createdVersion="8" refreshedVersion="8" minRefreshableVersion="3" recordCount="0" supportSubquery="1" supportAdvancedDrill="1" xr:uid="{C7064971-A3DC-4F36-904C-06662EE0310D}">
  <cacheSource type="external" connectionId="6"/>
  <cacheFields count="2">
    <cacheField name="[Master_Barang].[nama.barang].[nama.barang]" caption="nama.barang" numFmtId="0" level="1">
      <sharedItems count="5">
        <s v="BERAS"/>
        <s v="DAGING"/>
        <s v="GULA"/>
        <s v="MIGOR"/>
        <s v="TEPUNG"/>
      </sharedItems>
    </cacheField>
    <cacheField name="[Measures].[Count of nama.barang]" caption="Count of nama.barang" numFmtId="0" hierarchy="22" level="32767"/>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0"/>
      </fieldsUsage>
    </cacheHierarchy>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0" memberValueDatatype="130" unbalanced="0"/>
    <cacheHierarchy uniqueName="[Master_Pembeli].[nama.pembeli]" caption="nama.pembeli" attribute="1" defaultMemberUniqueName="[Master_Pembeli].[nama.pembeli].[All]" allUniqueName="[Master_Pembeli].[nama.pembeli].[All]" dimensionUniqueName="[Master_Pembeli]" displayFolder="" count="0" memberValueDatatype="130" unbalanced="0"/>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0" memberValueDatatype="130" unbalanced="0"/>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oneField="1">
      <fieldsUsage count="1">
        <fieldUsage x="1"/>
      </fieldsUsage>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387830092594" backgroundQuery="1" createdVersion="8" refreshedVersion="8" minRefreshableVersion="3" recordCount="0" supportSubquery="1" supportAdvancedDrill="1" xr:uid="{98B945AD-A679-4A96-B3ED-2BC43DE9F1B3}">
  <cacheSource type="external" connectionId="6"/>
  <cacheFields count="5">
    <cacheField name="[Master_Pembeli].[nama.pembeli].[nama.pembeli]" caption="nama.pembeli" numFmtId="0" hierarchy="5" level="1">
      <sharedItems count="10">
        <s v="TOKO AGUSTINUS"/>
        <s v="TOKO AIDI K."/>
        <s v="TOKO ANDREAS INDAH"/>
        <s v="TOKO DEWI AFRITA"/>
        <s v="TOKO ENDANG SUSILAWATI"/>
        <s v="TOKO ENGKON"/>
        <s v="TOKO FAKHLI HARUDI"/>
        <s v="TOKO HERWIN"/>
        <s v="TOKO JESAYA GINTING"/>
        <s v="TOKO YAKOB"/>
      </sharedItems>
    </cacheField>
    <cacheField name="[Measures].[Sum of nominal]" caption="Sum of nominal" numFmtId="0" hierarchy="19" level="32767"/>
    <cacheField name="[penjualan_barang].[tanggal (Quarter)].[tanggal (Quarter)]" caption="tanggal (Quarter)" numFmtId="0" hierarchy="15" level="1">
      <sharedItems containsSemiMixedTypes="0" containsNonDate="0" containsString="0"/>
    </cacheField>
    <cacheField name="[Measures].[Total Kuantum Penjualan]" caption="Total Kuantum Penjualan" numFmtId="0" hierarchy="24" level="32767"/>
    <cacheField name="[Master_Barang].[nama.barang].[nama.barang]" caption="nama.barang" numFmtId="0" level="1">
      <sharedItems containsSemiMixedTypes="0" containsNonDate="0" containsString="0"/>
    </cacheField>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4"/>
      </fieldsUsage>
    </cacheHierarchy>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0" memberValueDatatype="130" unbalanced="0"/>
    <cacheHierarchy uniqueName="[Master_Pembeli].[nama.pembeli]" caption="nama.pembeli" attribute="1" defaultMemberUniqueName="[Master_Pembeli].[nama.pembeli].[All]" allUniqueName="[Master_Pembeli].[nama.pembeli].[All]" dimensionUniqueName="[Master_Pembeli]" displayFolder="" count="2" memberValueDatatype="130" unbalanced="0">
      <fieldsUsage count="2">
        <fieldUsage x="-1"/>
        <fieldUsage x="0"/>
      </fieldsUsage>
    </cacheHierarchy>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fieldsUsage count="2">
        <fieldUsage x="-1"/>
        <fieldUsage x="2"/>
      </fieldsUsage>
    </cacheHierarchy>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oneField="1">
      <fieldsUsage count="1">
        <fieldUsage x="1"/>
      </fieldsUsage>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oneField="1">
      <fieldsUsage count="1">
        <fieldUsage x="3"/>
      </fieldsUsage>
    </cacheHierarchy>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387830555555" backgroundQuery="1" createdVersion="8" refreshedVersion="8" minRefreshableVersion="3" recordCount="0" supportSubquery="1" supportAdvancedDrill="1" xr:uid="{F63F5798-18EE-4880-A81F-9D9A7B04D1F0}">
  <cacheSource type="external" connectionId="6"/>
  <cacheFields count="5">
    <cacheField name="[Measures].[Sum of nominal]" caption="Sum of nominal" numFmtId="0" hierarchy="19" level="32767"/>
    <cacheField name="[penjualan_barang].[tanggal (Quarter)].[tanggal (Quarter)]" caption="tanggal (Quarter)" numFmtId="0" hierarchy="15" level="1">
      <sharedItems containsSemiMixedTypes="0" containsNonDate="0" containsString="0"/>
    </cacheField>
    <cacheField name="[Master_Calendar].[tanggal (Year)].[tanggal (Year)]" caption="tanggal (Year)" numFmtId="0" hierarchy="2" level="1">
      <sharedItems count="2">
        <s v="2020"/>
        <s v="2021"/>
      </sharedItems>
    </cacheField>
    <cacheField name="[Master_Calendar].[tanggal (Month)].[tanggal (Month)]" caption="tanggal (Month)" numFmtId="0" hierarchy="4" level="1">
      <sharedItems count="12">
        <s v="Jan"/>
        <s v="Feb"/>
        <s v="Mar"/>
        <s v="Apr"/>
        <s v="May"/>
        <s v="Jun"/>
        <s v="Jul"/>
        <s v="Aug"/>
        <s v="Sep"/>
        <s v="Oct"/>
        <s v="Nov"/>
        <s v="Dec"/>
      </sharedItems>
    </cacheField>
    <cacheField name="[Master_Barang].[nama.barang].[nama.barang]" caption="nama.barang" numFmtId="0" level="1">
      <sharedItems containsSemiMixedTypes="0" containsNonDate="0" containsString="0"/>
    </cacheField>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4"/>
      </fieldsUsage>
    </cacheHierarchy>
    <cacheHierarchy uniqueName="[Master_Calendar].[tanggal]" caption="tanggal" attribute="1" time="1" defaultMemberUniqueName="[Master_Calendar].[tanggal].[All]" allUniqueName="[Master_Calendar].[tanggal].[All]" dimensionUniqueName="[Master_Calendar]" displayFolder="" count="2"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fieldsUsage count="2">
        <fieldUsage x="-1"/>
        <fieldUsage x="2"/>
      </fieldsUsage>
    </cacheHierarchy>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2" memberValueDatatype="130" unbalanced="0">
      <fieldsUsage count="2">
        <fieldUsage x="-1"/>
        <fieldUsage x="3"/>
      </fieldsUsage>
    </cacheHierarchy>
    <cacheHierarchy uniqueName="[Master_Pembeli].[nama.pembeli]" caption="nama.pembeli" attribute="1" defaultMemberUniqueName="[Master_Pembeli].[nama.pembeli].[All]" allUniqueName="[Master_Pembeli].[nama.pembeli].[All]" dimensionUniqueName="[Master_Pembeli]" displayFolder="" count="2" memberValueDatatype="130" unbalanced="0"/>
    <cacheHierarchy uniqueName="[pengadaan_barang].[tanggal]" caption="tanggal" attribute="1" time="1" defaultMemberUniqueName="[pengadaan_barang].[tanggal].[All]" allUniqueName="[pengadaan_barang].[tanggal].[All]" dimensionUniqueName="[pengadaan_barang]" displayFolder="" count="2" memberValueDatatype="7" unbalanced="0"/>
    <cacheHierarchy uniqueName="[pengadaan_barang].[nama.barang]" caption="nama.barang" attribute="1" defaultMemberUniqueName="[pengadaan_barang].[nama.barang].[All]" allUniqueName="[pengadaan_barang].[nama.barang].[All]" dimensionUniqueName="[pengadaan_barang]" displayFolder="" count="2"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2" memberValueDatatype="20" unbalanced="0"/>
    <cacheHierarchy uniqueName="[penjualan_barang].[tanggal]" caption="tanggal" attribute="1" time="1" defaultMemberUniqueName="[penjualan_barang].[tanggal].[All]" allUniqueName="[penjualan_barang].[tanggal].[All]" dimensionUniqueName="[penjualan_barang]" displayFolder="" count="2" memberValueDatatype="7" unbalanced="0"/>
    <cacheHierarchy uniqueName="[penjualan_barang].[nama.pembeli]" caption="nama.pembeli" attribute="1" defaultMemberUniqueName="[penjualan_barang].[nama.pembeli].[All]" allUniqueName="[penjualan_barang].[nama.pembeli].[All]" dimensionUniqueName="[penjualan_barang]" displayFolder="" count="2" memberValueDatatype="130" unbalanced="0"/>
    <cacheHierarchy uniqueName="[penjualan_barang].[nama.barang]" caption="nama.barang" attribute="1" defaultMemberUniqueName="[penjualan_barang].[nama.barang].[All]" allUniqueName="[penjualan_barang].[nama.barang].[All]" dimensionUniqueName="[penjualan_barang]" displayFolder="" count="2"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2" memberValueDatatype="20" unbalanced="0"/>
    <cacheHierarchy uniqueName="[penjualan_barang].[nominal]" caption="nominal" attribute="1" defaultMemberUniqueName="[penjualan_barang].[nominal].[All]" allUniqueName="[penjualan_barang].[nominal].[All]" dimensionUniqueName="[penjualan_barang]" displayFolder="" count="2" memberValueDatatype="20" unbalanced="0"/>
    <cacheHierarchy uniqueName="[penjualan_barang].[tanggal (Year)]" caption="tanggal (Year)" attribute="1" defaultMemberUniqueName="[penjualan_barang].[tanggal (Year)].[All]" allUniqueName="[penjualan_barang].[tanggal (Year)].[All]" dimensionUniqueName="[penjualan_barang]" displayFolder="" count="2"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fieldsUsage count="2">
        <fieldUsage x="-1"/>
        <fieldUsage x="1"/>
      </fieldsUsage>
    </cacheHierarchy>
    <cacheHierarchy uniqueName="[penjualan_barang].[tanggal (Month)]" caption="tanggal (Month)" attribute="1" defaultMemberUniqueName="[penjualan_barang].[tanggal (Month)].[All]" allUniqueName="[penjualan_barang].[tanggal (Month)].[All]" dimensionUniqueName="[penjualan_barang]" displayFolder="" count="2"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2"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2" memberValueDatatype="20" unbalanced="0" hidden="1"/>
    <cacheHierarchy uniqueName="[Measures].[Sum of nominal]" caption="Sum of nominal" measure="1" displayFolder="" measureGroup="penjualan_barang" count="0" oneField="1">
      <fieldsUsage count="1">
        <fieldUsage x="0"/>
      </fieldsUsage>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387830902779" backgroundQuery="1" createdVersion="8" refreshedVersion="8" minRefreshableVersion="3" recordCount="0" supportSubquery="1" supportAdvancedDrill="1" xr:uid="{50E2DE37-5DD4-4F5C-97EC-AC351A70F62C}">
  <cacheSource type="external" connectionId="6"/>
  <cacheFields count="6">
    <cacheField name="[Master_Calendar].[tanggal (Month)].[tanggal (Month)]" caption="tanggal (Month)" numFmtId="0" hierarchy="4" level="1">
      <sharedItems count="12">
        <s v="Jan"/>
        <s v="Feb"/>
        <s v="Mar"/>
        <s v="Apr"/>
        <s v="May"/>
        <s v="Jun"/>
        <s v="Jul"/>
        <s v="Aug"/>
        <s v="Sep"/>
        <s v="Oct"/>
        <s v="Nov"/>
        <s v="Dec"/>
      </sharedItems>
    </cacheField>
    <cacheField name="[Master_Calendar].[tanggal (Year)].[tanggal (Year)]" caption="tanggal (Year)" numFmtId="0" hierarchy="2" level="1">
      <sharedItems count="2">
        <s v="2020"/>
        <s v="2021"/>
      </sharedItems>
    </cacheField>
    <cacheField name="[penjualan_barang].[tanggal (Quarter)].[tanggal (Quarter)]" caption="tanggal (Quarter)" numFmtId="0" hierarchy="15" level="1">
      <sharedItems containsSemiMixedTypes="0" containsNonDate="0" containsString="0"/>
    </cacheField>
    <cacheField name="[Measures].[Total Kuantum Penjualan]" caption="Total Kuantum Penjualan" numFmtId="0" hierarchy="24" level="32767"/>
    <cacheField name="[Measures].[Total Kuantum Pengadaan]" caption="Total Kuantum Pengadaan" numFmtId="0" hierarchy="23" level="32767"/>
    <cacheField name="[Master_Barang].[nama.barang].[nama.barang]" caption="nama.barang" numFmtId="0" level="1">
      <sharedItems containsSemiMixedTypes="0" containsNonDate="0" containsString="0"/>
    </cacheField>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5"/>
      </fieldsUsage>
    </cacheHierarchy>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fieldsUsage count="2">
        <fieldUsage x="-1"/>
        <fieldUsage x="1"/>
      </fieldsUsage>
    </cacheHierarchy>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2" memberValueDatatype="130" unbalanced="0">
      <fieldsUsage count="2">
        <fieldUsage x="-1"/>
        <fieldUsage x="0"/>
      </fieldsUsage>
    </cacheHierarchy>
    <cacheHierarchy uniqueName="[Master_Pembeli].[nama.pembeli]" caption="nama.pembeli" attribute="1" defaultMemberUniqueName="[Master_Pembeli].[nama.pembeli].[All]" allUniqueName="[Master_Pembeli].[nama.pembeli].[All]" dimensionUniqueName="[Master_Pembeli]" displayFolder="" count="0" memberValueDatatype="130" unbalanced="0"/>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fieldsUsage count="2">
        <fieldUsage x="-1"/>
        <fieldUsage x="2"/>
      </fieldsUsage>
    </cacheHierarchy>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oneField="1">
      <fieldsUsage count="1">
        <fieldUsage x="4"/>
      </fieldsUsage>
    </cacheHierarchy>
    <cacheHierarchy uniqueName="[Measures].[Total Kuantum Penjualan]" caption="Total Kuantum Penjualan" measure="1" displayFolder="" measureGroup="penjualan_barang" count="0" oneField="1">
      <fieldsUsage count="1">
        <fieldUsage x="3"/>
      </fieldsUsage>
    </cacheHierarchy>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387831134256" backgroundQuery="1" createdVersion="8" refreshedVersion="8" minRefreshableVersion="3" recordCount="0" supportSubquery="1" supportAdvancedDrill="1" xr:uid="{4894B0FF-F223-414A-91FA-1C456999100D}">
  <cacheSource type="external" connectionId="6"/>
  <cacheFields count="4">
    <cacheField name="[Master_Barang].[nama.barang].[nama.barang]" caption="nama.barang" numFmtId="0" level="1">
      <sharedItems count="5">
        <s v="BERAS"/>
        <s v="DAGING"/>
        <s v="GULA"/>
        <s v="MIGOR"/>
        <s v="TEPUNG"/>
      </sharedItems>
    </cacheField>
    <cacheField name="[penjualan_barang].[tanggal (Quarter)].[tanggal (Quarter)]" caption="tanggal (Quarter)" numFmtId="0" hierarchy="15" level="1">
      <sharedItems containsSemiMixedTypes="0" containsNonDate="0" containsString="0"/>
    </cacheField>
    <cacheField name="[Measures].[Total Kuantum Pengadaan]" caption="Total Kuantum Pengadaan" numFmtId="0" hierarchy="23" level="32767"/>
    <cacheField name="[Measures].[Total Kuantum Penjualan]" caption="Total Kuantum Penjualan" numFmtId="0" hierarchy="24" level="32767"/>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0"/>
      </fieldsUsage>
    </cacheHierarchy>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0" memberValueDatatype="130" unbalanced="0"/>
    <cacheHierarchy uniqueName="[Master_Pembeli].[nama.pembeli]" caption="nama.pembeli" attribute="1" defaultMemberUniqueName="[Master_Pembeli].[nama.pembeli].[All]" allUniqueName="[Master_Pembeli].[nama.pembeli].[All]" dimensionUniqueName="[Master_Pembeli]" displayFolder="" count="0" memberValueDatatype="130" unbalanced="0"/>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fieldsUsage count="2">
        <fieldUsage x="-1"/>
        <fieldUsage x="1"/>
      </fieldsUsage>
    </cacheHierarchy>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oneField="1">
      <fieldsUsage count="1">
        <fieldUsage x="2"/>
      </fieldsUsage>
    </cacheHierarchy>
    <cacheHierarchy uniqueName="[Measures].[Total Kuantum Penjualan]" caption="Total Kuantum Penjualan" measure="1" displayFolder="" measureGroup="penjualan_barang" count="0" oneField="1">
      <fieldsUsage count="1">
        <fieldUsage x="3"/>
      </fieldsUsage>
    </cacheHierarchy>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387831597225" backgroundQuery="1" createdVersion="8" refreshedVersion="8" minRefreshableVersion="3" recordCount="0" supportSubquery="1" supportAdvancedDrill="1" xr:uid="{020FCD27-8AAD-4749-8F0E-BEC253252909}">
  <cacheSource type="external" connectionId="6"/>
  <cacheFields count="5">
    <cacheField name="[Master_Pembeli].[nama.pembeli].[nama.pembeli]" caption="nama.pembeli" numFmtId="0" hierarchy="5" level="1">
      <sharedItems count="10">
        <s v="TOKO AGUSTINUS"/>
        <s v="TOKO AIDI K."/>
        <s v="TOKO ANDREAS INDAH"/>
        <s v="TOKO DEWI AFRITA"/>
        <s v="TOKO ENDANG SUSILAWATI"/>
        <s v="TOKO ENGKON"/>
        <s v="TOKO FAKHLI HARUDI"/>
        <s v="TOKO HERWIN"/>
        <s v="TOKO JESAYA GINTING"/>
        <s v="TOKO YAKOB"/>
      </sharedItems>
    </cacheField>
    <cacheField name="[Measures].[Sum of nominal]" caption="Sum of nominal" numFmtId="0" hierarchy="19" level="32767"/>
    <cacheField name="[penjualan_barang].[tanggal (Quarter)].[tanggal (Quarter)]" caption="tanggal (Quarter)" numFmtId="0" hierarchy="15" level="1">
      <sharedItems containsSemiMixedTypes="0" containsNonDate="0" containsString="0"/>
    </cacheField>
    <cacheField name="[Measures].[Total Kuantum Penjualan]" caption="Total Kuantum Penjualan" numFmtId="0" hierarchy="24" level="32767"/>
    <cacheField name="[Master_Barang].[nama.barang].[nama.barang]" caption="nama.barang" numFmtId="0" level="1">
      <sharedItems containsSemiMixedTypes="0" containsNonDate="0" containsString="0"/>
    </cacheField>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4"/>
      </fieldsUsage>
    </cacheHierarchy>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0" memberValueDatatype="130" unbalanced="0"/>
    <cacheHierarchy uniqueName="[Master_Pembeli].[nama.pembeli]" caption="nama.pembeli" attribute="1" defaultMemberUniqueName="[Master_Pembeli].[nama.pembeli].[All]" allUniqueName="[Master_Pembeli].[nama.pembeli].[All]" dimensionUniqueName="[Master_Pembeli]" displayFolder="" count="2" memberValueDatatype="130" unbalanced="0">
      <fieldsUsage count="2">
        <fieldUsage x="-1"/>
        <fieldUsage x="0"/>
      </fieldsUsage>
    </cacheHierarchy>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fieldsUsage count="2">
        <fieldUsage x="-1"/>
        <fieldUsage x="2"/>
      </fieldsUsage>
    </cacheHierarchy>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oneField="1">
      <fieldsUsage count="1">
        <fieldUsage x="1"/>
      </fieldsUsage>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oneField="1">
      <fieldsUsage count="1">
        <fieldUsage x="3"/>
      </fieldsUsage>
    </cacheHierarchy>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578991435184" backgroundQuery="1" createdVersion="3" refreshedVersion="8" minRefreshableVersion="3" recordCount="0" supportSubquery="1" supportAdvancedDrill="1" xr:uid="{10C08FB6-27B0-47D6-BD63-D5271686ACC1}">
  <cacheSource type="external" connectionId="6">
    <extLst>
      <ext xmlns:x14="http://schemas.microsoft.com/office/spreadsheetml/2009/9/main" uri="{F057638F-6D5F-4e77-A914-E7F072B9BCA8}">
        <x14:sourceConnection name="ThisWorkbookDataModel"/>
      </ext>
    </extLst>
  </cacheSource>
  <cacheFields count="0"/>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0" memberValueDatatype="130" unbalanced="0"/>
    <cacheHierarchy uniqueName="[Master_Pembeli].[nama.pembeli]" caption="nama.pembeli" attribute="1" defaultMemberUniqueName="[Master_Pembeli].[nama.pembeli].[All]" allUniqueName="[Master_Pembeli].[nama.pembeli].[All]" dimensionUniqueName="[Master_Pembeli]" displayFolder="" count="0" memberValueDatatype="130" unbalanced="0"/>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0" memberValueDatatype="130" unbalanced="0"/>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2223097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380352430555" backgroundQuery="1" createdVersion="3" refreshedVersion="8" minRefreshableVersion="3" recordCount="0" supportSubquery="1" supportAdvancedDrill="1" xr:uid="{39E4C911-EAF4-46E3-B48B-AA9409E2AB78}">
  <cacheSource type="external" connectionId="6">
    <extLst>
      <ext xmlns:x14="http://schemas.microsoft.com/office/spreadsheetml/2009/9/main" uri="{F057638F-6D5F-4e77-A914-E7F072B9BCA8}">
        <x14:sourceConnection name="ThisWorkbookDataModel"/>
      </ext>
    </extLst>
  </cacheSource>
  <cacheFields count="0"/>
  <cacheHierarchies count="31">
    <cacheHierarchy uniqueName="[Master_Barang].[nama.barang]" caption="nama.barang" attribute="1" defaultMemberUniqueName="[Master_Barang].[nama.barang].[All]" allUniqueName="[Master_Barang].[nama.barang].[All]" dimensionUniqueName="[Master_Barang]" displayFolder="" count="0" memberValueDatatype="130" unbalanced="0"/>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0" memberValueDatatype="130" unbalanced="0"/>
    <cacheHierarchy uniqueName="[Master_Calendar].[tanggal (Month)]" caption="tanggal (Month)" attribute="1" defaultMemberUniqueName="[Master_Calendar].[tanggal (Month)].[All]" allUniqueName="[Master_Calendar].[tanggal (Month)].[All]" dimensionUniqueName="[Master_Calendar]" displayFolder="" count="0" memberValueDatatype="130" unbalanced="0"/>
    <cacheHierarchy uniqueName="[Master_Pembeli].[nama.pembeli]" caption="nama.pembeli" attribute="1" defaultMemberUniqueName="[Master_Pembeli].[nama.pembeli].[All]" allUniqueName="[Master_Pembeli].[nama.pembeli].[All]" dimensionUniqueName="[Master_Pembeli]" displayFolder="" count="0" memberValueDatatype="130" unbalanced="0"/>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0" memberValueDatatype="130" unbalanced="0"/>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8170798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BERAS"/>
  </r>
  <r>
    <s v="DAGING"/>
  </r>
  <r>
    <s v="MIGOR"/>
  </r>
  <r>
    <s v="TEPUNG"/>
  </r>
  <r>
    <s v="GUL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d v="2020-05-29T00:00:00"/>
    <s v="GULA"/>
    <n v="100000"/>
  </r>
  <r>
    <d v="2020-07-07T00:00:00"/>
    <s v="GULA"/>
    <n v="97950"/>
  </r>
  <r>
    <d v="2020-07-16T00:00:00"/>
    <s v="GULA"/>
    <n v="2050"/>
  </r>
  <r>
    <d v="2020-11-12T00:00:00"/>
    <s v="GULA"/>
    <n v="14000"/>
  </r>
  <r>
    <d v="2020-12-24T00:00:00"/>
    <s v="GULA"/>
    <n v="8000"/>
  </r>
  <r>
    <d v="2020-06-03T00:00:00"/>
    <s v="GULA"/>
    <n v="100000"/>
  </r>
  <r>
    <d v="2020-02-26T00:00:00"/>
    <s v="BERAS"/>
    <n v="164"/>
  </r>
  <r>
    <d v="2020-02-26T00:00:00"/>
    <s v="BERAS"/>
    <n v="8500"/>
  </r>
  <r>
    <d v="2020-06-02T00:00:00"/>
    <s v="BERAS"/>
    <n v="150000"/>
  </r>
  <r>
    <d v="2020-06-23T00:00:00"/>
    <s v="BERAS"/>
    <n v="300"/>
  </r>
  <r>
    <d v="2020-06-26T00:00:00"/>
    <s v="BERAS"/>
    <n v="50000"/>
  </r>
  <r>
    <d v="2020-06-29T00:00:00"/>
    <s v="BERAS"/>
    <n v="75000"/>
  </r>
  <r>
    <d v="2020-06-30T00:00:00"/>
    <s v="BERAS"/>
    <n v="50000"/>
  </r>
  <r>
    <d v="2020-07-21T00:00:00"/>
    <s v="BERAS"/>
    <n v="75"/>
  </r>
  <r>
    <d v="2020-07-29T00:00:00"/>
    <s v="BERAS"/>
    <n v="50000"/>
  </r>
  <r>
    <d v="2020-08-06T00:00:00"/>
    <s v="BERAS"/>
    <n v="25000"/>
  </r>
  <r>
    <d v="2020-08-14T00:00:00"/>
    <s v="BERAS"/>
    <n v="74"/>
  </r>
  <r>
    <d v="2020-08-24T00:00:00"/>
    <s v="BERAS"/>
    <n v="25000"/>
  </r>
  <r>
    <d v="2020-08-27T00:00:00"/>
    <s v="BERAS"/>
    <n v="50000"/>
  </r>
  <r>
    <d v="2020-09-14T00:00:00"/>
    <s v="BERAS"/>
    <n v="50000"/>
  </r>
  <r>
    <d v="2020-09-17T00:00:00"/>
    <s v="BERAS"/>
    <n v="100"/>
  </r>
  <r>
    <d v="2020-10-23T00:00:00"/>
    <s v="BERAS"/>
    <n v="25"/>
  </r>
  <r>
    <d v="2020-10-24T00:00:00"/>
    <s v="BERAS"/>
    <n v="50"/>
  </r>
  <r>
    <d v="2020-10-26T00:00:00"/>
    <s v="BERAS"/>
    <n v="50000"/>
  </r>
  <r>
    <d v="2020-09-15T00:00:00"/>
    <s v="DAGING"/>
    <n v="3000"/>
  </r>
  <r>
    <d v="2020-01-21T00:00:00"/>
    <s v="DAGING"/>
    <n v="4000"/>
  </r>
  <r>
    <d v="2020-03-17T00:00:00"/>
    <s v="DAGING"/>
    <n v="4000"/>
  </r>
  <r>
    <d v="2020-12-29T00:00:00"/>
    <s v="DAGING"/>
    <n v="3000"/>
  </r>
  <r>
    <d v="2020-10-07T00:00:00"/>
    <s v="MIGOR"/>
    <n v="4000"/>
  </r>
  <r>
    <d v="2020-11-12T00:00:00"/>
    <s v="MIGOR"/>
    <n v="1500"/>
  </r>
  <r>
    <d v="2020-05-11T00:00:00"/>
    <s v="TEPUNG"/>
    <n v="1000"/>
  </r>
  <r>
    <d v="2020-07-10T00:00:00"/>
    <s v="TEPUNG"/>
    <n v="1000"/>
  </r>
  <r>
    <d v="2020-09-17T00:00:00"/>
    <s v="TEPUNG"/>
    <n v="2000"/>
  </r>
  <r>
    <d v="2020-01-28T00:00:00"/>
    <s v="BERAS"/>
    <n v="75000"/>
  </r>
  <r>
    <d v="2020-02-10T00:00:00"/>
    <s v="BERAS"/>
    <n v="100000"/>
  </r>
  <r>
    <d v="2020-03-10T00:00:00"/>
    <s v="BERAS"/>
    <n v="24000"/>
  </r>
  <r>
    <d v="2020-03-12T00:00:00"/>
    <s v="BERAS"/>
    <n v="43100"/>
  </r>
  <r>
    <d v="2020-03-17T00:00:00"/>
    <s v="BERAS"/>
    <n v="50000"/>
  </r>
  <r>
    <d v="2020-03-19T00:00:00"/>
    <s v="BERAS"/>
    <n v="17000"/>
  </r>
  <r>
    <d v="2020-03-23T00:00:00"/>
    <s v="BERAS"/>
    <n v="80"/>
  </r>
  <r>
    <d v="2020-04-08T00:00:00"/>
    <s v="BERAS"/>
    <n v="50000"/>
  </r>
  <r>
    <d v="2020-04-27T00:00:00"/>
    <s v="BERAS"/>
    <n v="160"/>
  </r>
  <r>
    <d v="2020-05-03T00:00:00"/>
    <s v="BERAS"/>
    <n v="75000"/>
  </r>
  <r>
    <d v="2020-05-04T00:00:00"/>
    <s v="BERAS"/>
    <n v="50000"/>
  </r>
  <r>
    <d v="2020-05-05T00:00:00"/>
    <s v="BERAS"/>
    <n v="75000"/>
  </r>
  <r>
    <d v="2020-05-18T00:00:00"/>
    <s v="BERAS"/>
    <n v="150000"/>
  </r>
  <r>
    <d v="2020-10-24T00:00:00"/>
    <s v="BERAS"/>
    <n v="50000"/>
  </r>
  <r>
    <d v="2020-11-19T00:00:00"/>
    <s v="BERAS"/>
    <n v="50000"/>
  </r>
  <r>
    <d v="2020-11-21T00:00:00"/>
    <s v="BERAS"/>
    <n v="50000"/>
  </r>
  <r>
    <d v="2020-11-23T00:00:00"/>
    <s v="BERAS"/>
    <n v="50000"/>
  </r>
  <r>
    <d v="2020-12-03T00:00:00"/>
    <s v="BERAS"/>
    <n v="25000"/>
  </r>
  <r>
    <d v="2020-12-04T00:00:00"/>
    <s v="BERAS"/>
    <n v="50000"/>
  </r>
  <r>
    <d v="2021-02-26T00:00:00"/>
    <s v="BERAS"/>
    <n v="500"/>
  </r>
  <r>
    <d v="2021-03-05T00:00:00"/>
    <s v="BERAS"/>
    <n v="50000"/>
  </r>
  <r>
    <d v="2021-02-23T00:00:00"/>
    <s v="DAGING"/>
    <n v="1000"/>
  </r>
  <r>
    <d v="2021-01-06T00:00:00"/>
    <s v="MIGOR"/>
    <n v="4000"/>
  </r>
  <r>
    <d v="2021-03-22T00:00:00"/>
    <s v="TEPUNG"/>
    <n v="1500"/>
  </r>
  <r>
    <d v="2021-01-21T00:00:00"/>
    <s v="BERAS"/>
    <n v="50000"/>
  </r>
  <r>
    <d v="2021-03-24T00:00:00"/>
    <s v="BERAS"/>
    <n v="50000"/>
  </r>
  <r>
    <d v="2020-01-10T00:00:00"/>
    <s v="BERAS"/>
    <n v="256130"/>
  </r>
  <r>
    <d v="2020-01-10T00:00:00"/>
    <s v="TEPUNG"/>
    <n v="3000"/>
  </r>
  <r>
    <d v="2020-01-10T00:00:00"/>
    <s v="MIGOR"/>
    <n v="16148"/>
  </r>
  <r>
    <d v="2020-01-10T00:00:00"/>
    <s v="DAGING"/>
    <n v="15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9">
  <r>
    <d v="2020-01-02T00:00:00"/>
    <s v="TOKO HERUNIAWATI"/>
    <s v="BERAS"/>
    <n v="1000"/>
    <n v="9840000"/>
  </r>
  <r>
    <d v="2020-01-02T00:00:00"/>
    <s v="TOKO HERUNIAWATI"/>
    <s v="DAGING"/>
    <n v="120"/>
    <n v="8400000"/>
  </r>
  <r>
    <d v="2020-01-02T00:00:00"/>
    <s v="TOKO APRILIA SUKRISNI"/>
    <s v="BERAS"/>
    <n v="6000"/>
    <n v="62910000"/>
  </r>
  <r>
    <d v="2020-01-02T00:00:00"/>
    <s v="TOKO APRILIA SUKRISNI"/>
    <s v="MIGOR"/>
    <n v="408"/>
    <n v="4855200"/>
  </r>
  <r>
    <d v="2020-01-02T00:00:00"/>
    <s v="TOKO APRILIA SUKRISNI"/>
    <s v="TEPUNG"/>
    <n v="140"/>
    <n v="1162000"/>
  </r>
  <r>
    <d v="2020-01-02T00:00:00"/>
    <s v="TOKO MAJU TERUS"/>
    <s v="BERAS"/>
    <n v="820"/>
    <n v="8597700"/>
  </r>
  <r>
    <d v="2020-01-02T00:00:00"/>
    <s v="TOKO MAJU TERUS"/>
    <s v="BERAS"/>
    <n v="550"/>
    <n v="5412000"/>
  </r>
  <r>
    <d v="2020-01-02T00:00:00"/>
    <s v="TOKO MAJU TERUS"/>
    <s v="DAGING"/>
    <n v="140"/>
    <n v="9800000"/>
  </r>
  <r>
    <d v="2020-01-03T00:00:00"/>
    <s v="KOPERASI BRI MELAWI"/>
    <s v="BERAS"/>
    <n v="1180"/>
    <n v="12372300"/>
  </r>
  <r>
    <d v="2020-01-03T00:00:00"/>
    <s v="KOPERASI BRI MELAWI"/>
    <s v="MIGOR"/>
    <n v="204"/>
    <n v="2427600"/>
  </r>
  <r>
    <d v="2020-01-03T00:00:00"/>
    <s v="KOPERASI BRI MELAWI"/>
    <s v="TEPUNG"/>
    <n v="200"/>
    <n v="1660000"/>
  </r>
  <r>
    <d v="2020-01-06T00:00:00"/>
    <s v="TOKO DEB"/>
    <s v="BERAS"/>
    <n v="500"/>
    <n v="4920000"/>
  </r>
  <r>
    <d v="2020-01-06T00:00:00"/>
    <s v="TOKO DEB"/>
    <s v="DAGING"/>
    <n v="100"/>
    <n v="7000000"/>
  </r>
  <r>
    <d v="2020-01-06T00:00:00"/>
    <s v="TOKO FATHULLAH ZIKRI"/>
    <s v="BERAS"/>
    <n v="500"/>
    <n v="4920000"/>
  </r>
  <r>
    <d v="2020-01-06T00:00:00"/>
    <s v="TOKO FATHULLAH ZIKRI"/>
    <s v="DAGING"/>
    <n v="110"/>
    <n v="7700000"/>
  </r>
  <r>
    <d v="2020-01-06T00:00:00"/>
    <s v="TOKO FAHRI"/>
    <s v="BERAS"/>
    <n v="200"/>
    <n v="1968000"/>
  </r>
  <r>
    <d v="2020-01-06T00:00:00"/>
    <s v="TOKO FAHRI"/>
    <s v="DAGING"/>
    <n v="40"/>
    <n v="2800000"/>
  </r>
  <r>
    <d v="2020-01-07T00:00:00"/>
    <s v="TOKO KEDAI YUDA"/>
    <s v="BERAS"/>
    <n v="250"/>
    <n v="2621250"/>
  </r>
  <r>
    <d v="2020-01-07T00:00:00"/>
    <s v="TOKO KEDAI YUDA"/>
    <s v="BERAS"/>
    <n v="500"/>
    <n v="4920000"/>
  </r>
  <r>
    <d v="2020-01-07T00:00:00"/>
    <s v="TOKO KEDAI YUDA"/>
    <s v="DAGING"/>
    <n v="60"/>
    <n v="4200000"/>
  </r>
  <r>
    <d v="2020-01-07T00:00:00"/>
    <s v="TOKO KOPERASI KONSUMEN SYARIAH BERKAH BERSEMI"/>
    <s v="BERAS"/>
    <n v="250"/>
    <n v="2621250"/>
  </r>
  <r>
    <d v="2020-01-07T00:00:00"/>
    <s v="TOKO KOPERASI KONSUMEN SYARIAH BERKAH BERSEMI"/>
    <s v="BERAS"/>
    <n v="450"/>
    <n v="4428000"/>
  </r>
  <r>
    <d v="2020-01-07T00:00:00"/>
    <s v="TOKO KOPERASI KONSUMEN SYARIAH BERKAH BERSEMI"/>
    <s v="DAGING"/>
    <n v="60"/>
    <n v="4200000"/>
  </r>
  <r>
    <d v="2020-01-09T00:00:00"/>
    <s v="HARYA SARI"/>
    <s v="BERAS"/>
    <n v="200"/>
    <n v="2097000"/>
  </r>
  <r>
    <d v="2020-01-09T00:00:00"/>
    <s v="HARYA SARI"/>
    <s v="BERAS"/>
    <n v="600"/>
    <n v="5904000"/>
  </r>
  <r>
    <d v="2020-01-09T00:00:00"/>
    <s v="HARYA SARI"/>
    <s v="DAGING"/>
    <n v="100"/>
    <n v="7000000"/>
  </r>
  <r>
    <d v="2020-01-09T00:00:00"/>
    <s v="TOKO SUPER STOCK"/>
    <s v="BERAS"/>
    <n v="300"/>
    <n v="3145500"/>
  </r>
  <r>
    <d v="2020-01-09T00:00:00"/>
    <s v="TOKO SUPER STOCK"/>
    <s v="BERAS"/>
    <n v="700"/>
    <n v="6888000"/>
  </r>
  <r>
    <d v="2020-01-09T00:00:00"/>
    <s v="TOKO SUPER STOCK"/>
    <s v="DAGING"/>
    <n v="150"/>
    <n v="10500000"/>
  </r>
  <r>
    <d v="2020-01-10T00:00:00"/>
    <s v="TOKO HARYATI"/>
    <s v="BERAS"/>
    <n v="3000"/>
    <n v="31500000"/>
  </r>
  <r>
    <d v="2020-01-10T00:00:00"/>
    <s v="TOKO KARDI"/>
    <s v="BERAS"/>
    <n v="1000"/>
    <n v="10500000"/>
  </r>
  <r>
    <d v="2020-01-10T00:00:00"/>
    <s v="TOKO KHET MEN"/>
    <s v="BERAS"/>
    <n v="1000"/>
    <n v="10500000"/>
  </r>
  <r>
    <d v="2020-01-10T00:00:00"/>
    <s v="TOKO ENDANG HARTATI"/>
    <s v="BERAS"/>
    <n v="500"/>
    <n v="5250000"/>
  </r>
  <r>
    <d v="2020-01-10T00:00:00"/>
    <s v="TOKO DWI SUSILO"/>
    <s v="BERAS"/>
    <n v="500"/>
    <n v="5250000"/>
  </r>
  <r>
    <d v="2020-01-10T00:00:00"/>
    <s v="TOKO CAH HERU"/>
    <s v="BERAS"/>
    <n v="500"/>
    <n v="5250000"/>
  </r>
  <r>
    <d v="2020-01-10T00:00:00"/>
    <s v="TOKO AANG  DARMAWAN"/>
    <s v="BERAS"/>
    <n v="500"/>
    <n v="5250000"/>
  </r>
  <r>
    <d v="2020-01-10T00:00:00"/>
    <s v="TOKO DIDIK PRIOJADMIKO"/>
    <s v="BERAS"/>
    <n v="500"/>
    <n v="5250000"/>
  </r>
  <r>
    <d v="2020-01-10T00:00:00"/>
    <s v="TOKO HENI LAY"/>
    <s v="BERAS"/>
    <n v="4000"/>
    <n v="42000000"/>
  </r>
  <r>
    <d v="2020-01-10T00:00:00"/>
    <s v="TOKO APRIYANTO"/>
    <s v="BERAS"/>
    <n v="3000"/>
    <n v="31500000"/>
  </r>
  <r>
    <d v="2020-01-10T00:00:00"/>
    <s v="WARUNG NAK ZIHAN"/>
    <s v="BERAS"/>
    <n v="500"/>
    <n v="5242500"/>
  </r>
  <r>
    <d v="2020-01-10T00:00:00"/>
    <s v="WARUNG NAK ZIHAN"/>
    <s v="DAGING"/>
    <n v="100"/>
    <n v="7000000"/>
  </r>
  <r>
    <d v="2020-01-10T00:00:00"/>
    <s v="WARUNG NAK ZIHAN"/>
    <s v="MIGOR"/>
    <n v="84"/>
    <n v="999600"/>
  </r>
  <r>
    <d v="2020-01-10T00:00:00"/>
    <s v="WARUNG NAK ZIHAN"/>
    <s v="TEPUNG"/>
    <n v="60"/>
    <n v="498000"/>
  </r>
  <r>
    <d v="2020-01-13T00:00:00"/>
    <s v="TOKO MUNIR"/>
    <s v="BERAS"/>
    <n v="300"/>
    <n v="3145500"/>
  </r>
  <r>
    <d v="2020-01-13T00:00:00"/>
    <s v="TOKO MUNIR"/>
    <s v="DAGING"/>
    <n v="120"/>
    <n v="8400000"/>
  </r>
  <r>
    <d v="2020-01-13T00:00:00"/>
    <s v="TOKO KARYA BINJAI"/>
    <s v="BERAS"/>
    <n v="200"/>
    <n v="2097000"/>
  </r>
  <r>
    <d v="2020-01-13T00:00:00"/>
    <s v="TOKO KARYA BINJAI"/>
    <s v="DAGING"/>
    <n v="80"/>
    <n v="5600000"/>
  </r>
  <r>
    <d v="2020-01-13T00:00:00"/>
    <s v="TOKO KIAN KIONG"/>
    <s v="BERAS"/>
    <n v="1000"/>
    <n v="10500000"/>
  </r>
  <r>
    <d v="2020-01-13T00:00:00"/>
    <s v="TOKO ANDREAS INDAH"/>
    <s v="BERAS"/>
    <n v="7000"/>
    <n v="73500000"/>
  </r>
  <r>
    <d v="2020-01-13T00:00:00"/>
    <s v="TOKO KHET MEN"/>
    <s v="BERAS"/>
    <n v="1000"/>
    <n v="10500000"/>
  </r>
  <r>
    <d v="2020-01-13T00:00:00"/>
    <s v="TOKO NURDIAH"/>
    <s v="BERAS"/>
    <n v="2500"/>
    <n v="26250000"/>
  </r>
  <r>
    <d v="2020-01-14T00:00:00"/>
    <s v="KARUNIA"/>
    <s v="BERAS"/>
    <n v="500"/>
    <n v="4920000"/>
  </r>
  <r>
    <d v="2020-01-14T00:00:00"/>
    <s v="KARUNIA"/>
    <s v="DAGING"/>
    <n v="20"/>
    <n v="1400000"/>
  </r>
  <r>
    <d v="2020-01-16T00:00:00"/>
    <s v="TOKO REVAN"/>
    <s v="BERAS"/>
    <n v="550"/>
    <n v="5412000"/>
  </r>
  <r>
    <d v="2020-01-16T00:00:00"/>
    <s v="TOKO REVAN"/>
    <s v="DAGING"/>
    <n v="40"/>
    <n v="2800000"/>
  </r>
  <r>
    <d v="2020-01-16T00:00:00"/>
    <s v="TOKO DOA IBU"/>
    <s v="BERAS"/>
    <n v="500"/>
    <n v="4920000"/>
  </r>
  <r>
    <d v="2020-01-16T00:00:00"/>
    <s v="TOKO DOA IBU"/>
    <s v="DAGING"/>
    <n v="35"/>
    <n v="2450000"/>
  </r>
  <r>
    <d v="2020-01-20T00:00:00"/>
    <s v="SAHABAT ANDA"/>
    <s v="BERAS"/>
    <n v="900"/>
    <n v="8856000"/>
  </r>
  <r>
    <d v="2020-01-20T00:00:00"/>
    <s v="SAHABAT ANDA"/>
    <s v="DAGING"/>
    <n v="60"/>
    <n v="4200000"/>
  </r>
  <r>
    <d v="2020-01-20T00:00:00"/>
    <s v="SAHABAT ANDA"/>
    <s v="TEPUNG"/>
    <n v="60"/>
    <n v="498000"/>
  </r>
  <r>
    <d v="2020-01-20T00:00:00"/>
    <s v="TOKO AQIL"/>
    <s v="BERAS"/>
    <n v="800"/>
    <n v="7872000"/>
  </r>
  <r>
    <d v="2020-01-20T00:00:00"/>
    <s v="TOKO AQIL"/>
    <s v="DAGING"/>
    <n v="50"/>
    <n v="3500000"/>
  </r>
  <r>
    <d v="2020-01-20T00:00:00"/>
    <s v="TOKO AQIL"/>
    <s v="TEPUNG"/>
    <n v="40"/>
    <n v="332000"/>
  </r>
  <r>
    <d v="2020-01-20T00:00:00"/>
    <s v="TOKO ABIZAR"/>
    <s v="BERAS"/>
    <n v="700"/>
    <n v="6888000"/>
  </r>
  <r>
    <d v="2020-01-21T00:00:00"/>
    <s v="TOKO SARDIYANTO"/>
    <s v="BERAS"/>
    <n v="500"/>
    <n v="5250000"/>
  </r>
  <r>
    <d v="2020-01-21T00:00:00"/>
    <s v="TOKO DIDIK PRIOJADMIKO"/>
    <s v="BERAS"/>
    <n v="750"/>
    <n v="7875000"/>
  </r>
  <r>
    <d v="2020-01-21T00:00:00"/>
    <s v="TOKO KIAN KIONG"/>
    <s v="BERAS"/>
    <n v="2000"/>
    <n v="21000000"/>
  </r>
  <r>
    <d v="2020-01-21T00:00:00"/>
    <s v="TOKO ANDREAS INDAH"/>
    <s v="BERAS"/>
    <n v="4000"/>
    <n v="42000000"/>
  </r>
  <r>
    <d v="2020-01-21T00:00:00"/>
    <s v="TOKO EKA SAPUTRA JAYA"/>
    <s v="BERAS"/>
    <n v="1000"/>
    <n v="10500000"/>
  </r>
  <r>
    <d v="2020-01-21T00:00:00"/>
    <s v="TOKO FAKHLI HARUDI"/>
    <s v="BERAS"/>
    <n v="2400"/>
    <n v="25200000"/>
  </r>
  <r>
    <d v="2020-01-22T00:00:00"/>
    <s v="ANDY"/>
    <s v="BERAS"/>
    <n v="250"/>
    <n v="2460000"/>
  </r>
  <r>
    <d v="2020-01-22T00:00:00"/>
    <s v="ANDY"/>
    <s v="DAGING"/>
    <n v="100"/>
    <n v="7000000"/>
  </r>
  <r>
    <d v="2020-01-22T00:00:00"/>
    <s v="TOKO IFAL"/>
    <s v="BERAS"/>
    <n v="250"/>
    <n v="2460000"/>
  </r>
  <r>
    <d v="2020-01-22T00:00:00"/>
    <s v="TOKO IFAL"/>
    <s v="DAGING"/>
    <n v="100"/>
    <n v="7000000"/>
  </r>
  <r>
    <d v="2020-01-22T00:00:00"/>
    <s v="LANGKAH JAYA"/>
    <s v="BERAS"/>
    <n v="200"/>
    <n v="1968000"/>
  </r>
  <r>
    <d v="2020-01-22T00:00:00"/>
    <s v="LANGKAH JAYA"/>
    <s v="DAGING"/>
    <n v="100"/>
    <n v="7000000"/>
  </r>
  <r>
    <d v="2020-01-23T00:00:00"/>
    <s v="TOKO ANDRI SUGIANTO"/>
    <s v="BERAS"/>
    <n v="10000"/>
    <n v="105000000"/>
  </r>
  <r>
    <d v="2020-01-23T00:00:00"/>
    <s v="TOKO JESAYA GINTING"/>
    <s v="BERAS"/>
    <n v="10000"/>
    <n v="105000000"/>
  </r>
  <r>
    <d v="2020-01-27T00:00:00"/>
    <s v="TOKO HIDAYAH"/>
    <s v="BERAS"/>
    <n v="600"/>
    <n v="5904000"/>
  </r>
  <r>
    <d v="2020-01-27T00:00:00"/>
    <s v="TOKO HIDAYAH"/>
    <s v="DAGING"/>
    <n v="80"/>
    <n v="5600000"/>
  </r>
  <r>
    <d v="2020-01-28T00:00:00"/>
    <s v="TOKO BERKAH DUA PUTRA"/>
    <s v="BERAS"/>
    <n v="500"/>
    <n v="5192500"/>
  </r>
  <r>
    <d v="2020-01-28T00:00:00"/>
    <s v="TOKO BERKAH DUA PUTRA"/>
    <s v="DAGING"/>
    <n v="75"/>
    <n v="5250000"/>
  </r>
  <r>
    <d v="2020-01-28T00:00:00"/>
    <s v="TOKO YENNI SUSILAWATI"/>
    <s v="BERAS"/>
    <n v="1000"/>
    <n v="10500000"/>
  </r>
  <r>
    <d v="2020-01-28T00:00:00"/>
    <s v="TOKO ENDANG SUSILAWATI"/>
    <s v="BERAS"/>
    <n v="18000"/>
    <n v="189000000"/>
  </r>
  <r>
    <d v="2020-01-28T00:00:00"/>
    <s v="TOKO HARYATI"/>
    <s v="BERAS"/>
    <n v="1800"/>
    <n v="18900000"/>
  </r>
  <r>
    <d v="2020-01-28T00:00:00"/>
    <s v="TOKO ANDREAS INDAH"/>
    <s v="BERAS"/>
    <n v="3000"/>
    <n v="31500000"/>
  </r>
  <r>
    <d v="2020-01-28T00:00:00"/>
    <s v="TOKO DIANA RISTA"/>
    <s v="BERAS"/>
    <n v="2000"/>
    <n v="21000000"/>
  </r>
  <r>
    <d v="2020-01-29T00:00:00"/>
    <s v="TOKO WARUNG SANTI"/>
    <s v="BERAS"/>
    <n v="540"/>
    <n v="5607900"/>
  </r>
  <r>
    <d v="2020-01-29T00:00:00"/>
    <s v="TOKO WARUNG SANTI"/>
    <s v="DAGING"/>
    <n v="200"/>
    <n v="14000000"/>
  </r>
  <r>
    <d v="2020-01-30T00:00:00"/>
    <s v="TOKO JESAYA GINTING"/>
    <s v="BERAS"/>
    <n v="15000"/>
    <n v="157500000"/>
  </r>
  <r>
    <d v="2020-01-30T00:00:00"/>
    <s v="TOKO ENDANG SUSILAWATI"/>
    <s v="BERAS"/>
    <n v="6000"/>
    <n v="63000000"/>
  </r>
  <r>
    <d v="2020-01-30T00:00:00"/>
    <s v="TOKO DIDIK PRIOJADMIKO"/>
    <s v="BERAS"/>
    <n v="1000"/>
    <n v="10500000"/>
  </r>
  <r>
    <d v="2020-01-30T00:00:00"/>
    <s v="TOKO BOB-I"/>
    <s v="BERAS"/>
    <n v="600"/>
    <n v="5904000"/>
  </r>
  <r>
    <d v="2020-01-30T00:00:00"/>
    <s v="TOKO BOB-I"/>
    <s v="DAGING"/>
    <n v="80"/>
    <n v="5600000"/>
  </r>
  <r>
    <d v="2020-01-30T00:00:00"/>
    <s v="TOKO BUMDES USAHA JAYA BERSAMA"/>
    <s v="BERAS"/>
    <n v="700"/>
    <n v="6888000"/>
  </r>
  <r>
    <d v="2020-01-30T00:00:00"/>
    <s v="TOKO BUMDES USAHA JAYA BERSAMA"/>
    <s v="DAGING"/>
    <n v="100"/>
    <n v="7000000"/>
  </r>
  <r>
    <d v="2020-02-03T00:00:00"/>
    <s v="TOKO DARKUM KOPERASI DISPERINDAG"/>
    <s v="BERAS"/>
    <n v="500"/>
    <n v="4920000"/>
  </r>
  <r>
    <d v="2020-02-03T00:00:00"/>
    <s v="TOKO DARKUM KOPERASI DISPERINDAG"/>
    <s v="DAGING"/>
    <n v="40"/>
    <n v="2800000"/>
  </r>
  <r>
    <d v="2020-02-03T00:00:00"/>
    <s v="TOKO DARKUM KOPERASI DISPERINDAG"/>
    <s v="MIGOR"/>
    <n v="132"/>
    <n v="1570800"/>
  </r>
  <r>
    <d v="2020-02-03T00:00:00"/>
    <s v="TOKO DARKUM KOPERASI DISPERINDAG"/>
    <s v="TEPUNG"/>
    <n v="40"/>
    <n v="332000"/>
  </r>
  <r>
    <d v="2020-02-03T00:00:00"/>
    <s v="TPK PASAR JUNJUNG BUIH"/>
    <s v="BERAS"/>
    <n v="1000"/>
    <n v="9840000"/>
  </r>
  <r>
    <d v="2020-02-04T00:00:00"/>
    <s v="RUDIMAS"/>
    <s v="BERAS"/>
    <n v="750"/>
    <n v="7380000"/>
  </r>
  <r>
    <d v="2020-02-05T00:00:00"/>
    <s v="TOKO BUNGUR"/>
    <s v="BERAS"/>
    <n v="650"/>
    <n v="6396000"/>
  </r>
  <r>
    <d v="2020-02-05T00:00:00"/>
    <s v="TOKO BUNGUR"/>
    <s v="DAGING"/>
    <n v="60"/>
    <n v="4200000"/>
  </r>
  <r>
    <d v="2020-02-05T00:00:00"/>
    <s v="TOKO KIAN KIONG"/>
    <s v="BERAS"/>
    <n v="3000"/>
    <n v="31500000"/>
  </r>
  <r>
    <d v="2020-02-05T00:00:00"/>
    <s v="TOKO KHET MEN"/>
    <s v="BERAS"/>
    <n v="1000"/>
    <n v="10500000"/>
  </r>
  <r>
    <d v="2020-02-05T00:00:00"/>
    <s v="TOKO YENNI SUSILAWATI"/>
    <s v="BERAS"/>
    <n v="1500"/>
    <n v="15750000"/>
  </r>
  <r>
    <d v="2020-02-05T00:00:00"/>
    <s v="TOKO ENDANG SUSILAWATI"/>
    <s v="BERAS"/>
    <n v="12000"/>
    <n v="126000000"/>
  </r>
  <r>
    <d v="2020-02-05T00:00:00"/>
    <s v="TOKO SUKARDI"/>
    <s v="BERAS"/>
    <n v="2500"/>
    <n v="26250000"/>
  </r>
  <r>
    <d v="2020-02-05T00:00:00"/>
    <s v="TOKO KARDI"/>
    <s v="BERAS"/>
    <n v="2500"/>
    <n v="26250000"/>
  </r>
  <r>
    <d v="2020-02-05T00:00:00"/>
    <s v="TOKO ISNANI SITI RAFIAH"/>
    <s v="BERAS"/>
    <n v="1000"/>
    <n v="10500000"/>
  </r>
  <r>
    <d v="2020-02-05T00:00:00"/>
    <s v="TOKO PANISITAWATI HERMINA PAULA"/>
    <s v="BERAS"/>
    <n v="4000"/>
    <n v="42000000"/>
  </r>
  <r>
    <d v="2020-02-05T00:00:00"/>
    <s v="TOKO DENY WIDODO"/>
    <s v="BERAS"/>
    <n v="4000"/>
    <n v="42000000"/>
  </r>
  <r>
    <d v="2020-02-05T00:00:00"/>
    <s v="TOKO HERU SUSANTO"/>
    <s v="BERAS"/>
    <n v="6000"/>
    <n v="63000000"/>
  </r>
  <r>
    <d v="2020-02-05T00:00:00"/>
    <s v="TOKO RUDY"/>
    <s v="BERAS"/>
    <n v="4000"/>
    <n v="42000000"/>
  </r>
  <r>
    <d v="2020-02-06T00:00:00"/>
    <s v="TOKO BUMDES TERTUNG"/>
    <s v="BERAS"/>
    <n v="600"/>
    <n v="5904000"/>
  </r>
  <r>
    <d v="2020-02-06T00:00:00"/>
    <s v="TOKO BUMDES TERTUNG"/>
    <s v="DAGING"/>
    <n v="20"/>
    <n v="1400000"/>
  </r>
  <r>
    <d v="2020-02-06T00:00:00"/>
    <s v="TOKO FEBRIANTI INDAH LESTARI"/>
    <s v="BERAS"/>
    <n v="2800"/>
    <n v="29400000"/>
  </r>
  <r>
    <d v="2020-02-06T00:00:00"/>
    <s v="TOKO KARDI"/>
    <s v="BERAS"/>
    <n v="1100"/>
    <n v="11550000"/>
  </r>
  <r>
    <d v="2020-02-06T00:00:00"/>
    <s v="TOKO KIAN KIONG"/>
    <s v="BERAS"/>
    <n v="1000"/>
    <n v="10500000"/>
  </r>
  <r>
    <d v="2020-02-06T00:00:00"/>
    <s v="TOKO DIANA RISTA"/>
    <s v="BERAS"/>
    <n v="6000"/>
    <n v="63000000"/>
  </r>
  <r>
    <d v="2020-02-06T00:00:00"/>
    <s v="TOKO FAKHLI HARUDI"/>
    <s v="BERAS"/>
    <n v="5600"/>
    <n v="58800000"/>
  </r>
  <r>
    <d v="2020-02-07T00:00:00"/>
    <s v="TOKO ODONG SOBARI"/>
    <s v="BERAS"/>
    <n v="3000"/>
    <n v="31500000"/>
  </r>
  <r>
    <d v="2020-02-07T00:00:00"/>
    <s v="TOKO CUCUM"/>
    <s v="BERAS"/>
    <n v="1500"/>
    <n v="15750000"/>
  </r>
  <r>
    <d v="2020-02-07T00:00:00"/>
    <s v="TOKO KHET MEN"/>
    <s v="BERAS"/>
    <n v="1000"/>
    <n v="10500000"/>
  </r>
  <r>
    <d v="2020-02-07T00:00:00"/>
    <s v="TOKO JESAYA GINTING"/>
    <s v="BERAS"/>
    <n v="10000"/>
    <n v="105000000"/>
  </r>
  <r>
    <d v="2020-02-07T00:00:00"/>
    <s v="TOKO SRI WAHYUNI"/>
    <s v="BERAS"/>
    <n v="500"/>
    <n v="5250000"/>
  </r>
  <r>
    <d v="2020-02-10T00:00:00"/>
    <s v="TOKO DEWI AFRITA"/>
    <s v="BERAS"/>
    <n v="5000"/>
    <n v="52500000"/>
  </r>
  <r>
    <d v="2020-02-10T00:00:00"/>
    <s v="TOKO AANG  DARMAWAN"/>
    <s v="BERAS"/>
    <n v="750"/>
    <n v="7875000"/>
  </r>
  <r>
    <d v="2020-02-10T00:00:00"/>
    <s v="TOKO DIDIK PRIOJADMIKO"/>
    <s v="BERAS"/>
    <n v="1500"/>
    <n v="15750000"/>
  </r>
  <r>
    <d v="2020-02-10T00:00:00"/>
    <s v="TOKO ENDANG HARTATI"/>
    <s v="BERAS"/>
    <n v="1500"/>
    <n v="15750000"/>
  </r>
  <r>
    <d v="2020-02-10T00:00:00"/>
    <s v="TOKO FAKHLI HARUDI"/>
    <s v="BERAS"/>
    <n v="8000"/>
    <n v="84000000"/>
  </r>
  <r>
    <d v="2020-02-11T00:00:00"/>
    <s v="TOKO RIZKI SAKYAH"/>
    <s v="BERAS"/>
    <n v="750"/>
    <n v="7367250"/>
  </r>
  <r>
    <d v="2020-02-11T00:00:00"/>
    <s v="TOKO RIZKI SAKYAH"/>
    <s v="DAGING"/>
    <n v="20"/>
    <n v="1400000"/>
  </r>
  <r>
    <d v="2020-02-11T00:00:00"/>
    <s v="TOKO RIZKI SAKYAH"/>
    <s v="MIGOR"/>
    <n v="60"/>
    <n v="714000"/>
  </r>
  <r>
    <d v="2020-02-11T00:00:00"/>
    <s v="TOKO RIZKI SAKYAH"/>
    <s v="TEPUNG"/>
    <n v="20"/>
    <n v="166000"/>
  </r>
  <r>
    <d v="2020-02-12T00:00:00"/>
    <s v="TOKO RAHMAD"/>
    <s v="BERAS"/>
    <n v="1000"/>
    <n v="9823000"/>
  </r>
  <r>
    <d v="2020-02-12T00:00:00"/>
    <s v="TOKO RAHMAD"/>
    <s v="DAGING"/>
    <n v="20"/>
    <n v="1400000"/>
  </r>
  <r>
    <d v="2020-02-13T00:00:00"/>
    <s v="TOKO SUKA SUKA"/>
    <s v="BERAS"/>
    <n v="800"/>
    <n v="7858400"/>
  </r>
  <r>
    <d v="2020-02-14T00:00:00"/>
    <s v="TOKO YOGI"/>
    <s v="BERAS"/>
    <n v="850"/>
    <n v="8349550"/>
  </r>
  <r>
    <d v="2020-02-17T00:00:00"/>
    <s v="TOKO IRVA"/>
    <s v="BERAS"/>
    <n v="850"/>
    <n v="8349550"/>
  </r>
  <r>
    <d v="2020-02-17T00:00:00"/>
    <s v="TOKO IRVA"/>
    <s v="DAGING"/>
    <n v="20"/>
    <n v="1400000"/>
  </r>
  <r>
    <d v="2020-02-18T00:00:00"/>
    <s v="UMMI"/>
    <s v="BERAS"/>
    <n v="750"/>
    <n v="7367250"/>
  </r>
  <r>
    <d v="2020-02-19T00:00:00"/>
    <s v="TOKO TOPIN"/>
    <s v="BERAS"/>
    <n v="850"/>
    <n v="8349550"/>
  </r>
  <r>
    <d v="2020-02-19T00:00:00"/>
    <s v="TOKO DHEMA"/>
    <s v="BERAS"/>
    <n v="750"/>
    <n v="7367250"/>
  </r>
  <r>
    <d v="2020-02-20T00:00:00"/>
    <s v="TOKO SIGID PAMBUDI"/>
    <s v="BERAS"/>
    <n v="2000"/>
    <n v="21000000"/>
  </r>
  <r>
    <d v="2020-02-20T00:00:00"/>
    <s v="TOKO SYARBINUS PANGKAS"/>
    <s v="BERAS"/>
    <n v="8000"/>
    <n v="84000000"/>
  </r>
  <r>
    <d v="2020-02-20T00:00:00"/>
    <s v="TOKO SUKARDI"/>
    <s v="BERAS"/>
    <n v="7300"/>
    <n v="76650000"/>
  </r>
  <r>
    <d v="2020-02-20T00:00:00"/>
    <s v="TOKO ANDRI SUGIANTO"/>
    <s v="BERAS"/>
    <n v="15000"/>
    <n v="157500000"/>
  </r>
  <r>
    <d v="2020-02-20T00:00:00"/>
    <s v="TOKO SRI WAHYUNI"/>
    <s v="BERAS"/>
    <n v="1000"/>
    <n v="10500000"/>
  </r>
  <r>
    <d v="2020-02-20T00:00:00"/>
    <s v="TOKO AGUSTINUS"/>
    <s v="BERAS"/>
    <n v="6400"/>
    <n v="67200000"/>
  </r>
  <r>
    <d v="2020-02-20T00:00:00"/>
    <s v="TOKO ARI YANTO"/>
    <s v="BERAS"/>
    <n v="3600"/>
    <n v="37800000"/>
  </r>
  <r>
    <d v="2020-02-20T00:00:00"/>
    <s v="TOKO SAPARNI"/>
    <s v="BERAS"/>
    <n v="4800"/>
    <n v="50400000"/>
  </r>
  <r>
    <d v="2020-02-20T00:00:00"/>
    <s v="TOKO SIMON SUMARDI"/>
    <s v="BERAS"/>
    <n v="1300"/>
    <n v="13650000"/>
  </r>
  <r>
    <d v="2020-02-20T00:00:00"/>
    <s v="TOKO EKO BUDI WINASIS"/>
    <s v="BERAS"/>
    <n v="1020"/>
    <n v="10710000"/>
  </r>
  <r>
    <d v="2020-02-20T00:00:00"/>
    <s v="TOKO HERI HARYANTO"/>
    <s v="BERAS"/>
    <n v="1000"/>
    <n v="10500000"/>
  </r>
  <r>
    <d v="2020-02-20T00:00:00"/>
    <s v="TOKO EKA SAPUTRA JAYA"/>
    <s v="BERAS"/>
    <n v="5000"/>
    <n v="52500000"/>
  </r>
  <r>
    <d v="2020-02-21T00:00:00"/>
    <s v="TOKO FEBRIANTI INDAH LESTARI"/>
    <s v="BERAS"/>
    <n v="3500"/>
    <n v="36750000"/>
  </r>
  <r>
    <d v="2020-02-21T00:00:00"/>
    <s v="TOKO ENDANG SUSILAWATI"/>
    <s v="BERAS"/>
    <n v="18000"/>
    <n v="189000000"/>
  </r>
  <r>
    <d v="2020-02-21T00:00:00"/>
    <s v="TOKO DEWI AFRITA"/>
    <s v="BERAS"/>
    <n v="5000"/>
    <n v="52500000"/>
  </r>
  <r>
    <d v="2020-02-21T00:00:00"/>
    <s v="TOKO DIANA RISTA"/>
    <s v="BERAS"/>
    <n v="4000"/>
    <n v="42000000"/>
  </r>
  <r>
    <d v="2020-02-21T00:00:00"/>
    <s v="TOKO NURFADILAH"/>
    <s v="BERAS"/>
    <n v="5500"/>
    <n v="57750000"/>
  </r>
  <r>
    <d v="2020-02-21T00:00:00"/>
    <s v="TOKO MARDIUS"/>
    <s v="BERAS"/>
    <n v="2000"/>
    <n v="21000000"/>
  </r>
  <r>
    <d v="2020-02-21T00:00:00"/>
    <s v="TOKO ANTONIUS"/>
    <s v="BERAS"/>
    <n v="10000"/>
    <n v="105000000"/>
  </r>
  <r>
    <d v="2020-02-25T00:00:00"/>
    <s v="TOKO BERKAT USAHA"/>
    <s v="BERAS"/>
    <n v="700"/>
    <n v="6876100"/>
  </r>
  <r>
    <d v="2020-02-25T00:00:00"/>
    <s v="TOKO BERKAT USAHA"/>
    <s v="DAGING"/>
    <n v="120"/>
    <n v="8400000"/>
  </r>
  <r>
    <d v="2020-02-25T00:00:00"/>
    <s v="TOKO BERKAT USAHA"/>
    <s v="MIGOR"/>
    <n v="108"/>
    <n v="1285200"/>
  </r>
  <r>
    <d v="2020-02-25T00:00:00"/>
    <s v="TOKO BERKAT USAHA"/>
    <s v="TEPUNG"/>
    <n v="80"/>
    <n v="664000"/>
  </r>
  <r>
    <d v="2020-02-25T00:00:00"/>
    <s v="TOKO SILVIANA"/>
    <s v="BERAS"/>
    <n v="500"/>
    <n v="4911500"/>
  </r>
  <r>
    <d v="2020-02-25T00:00:00"/>
    <s v="TOKO SILVIANA"/>
    <s v="DAGING"/>
    <n v="80"/>
    <n v="5600000"/>
  </r>
  <r>
    <d v="2020-02-25T00:00:00"/>
    <s v="TOKO SILVIANA"/>
    <s v="MIGOR"/>
    <n v="84"/>
    <n v="999600"/>
  </r>
  <r>
    <d v="2020-02-25T00:00:00"/>
    <s v="TOKO SILVIANA"/>
    <s v="TEPUNG"/>
    <n v="40"/>
    <n v="332000"/>
  </r>
  <r>
    <d v="2020-02-25T00:00:00"/>
    <s v="TOKO KIAN KIONG"/>
    <s v="BERAS"/>
    <n v="4000"/>
    <n v="42000000"/>
  </r>
  <r>
    <d v="2020-02-25T00:00:00"/>
    <s v="TOKO KHET MEN"/>
    <s v="BERAS"/>
    <n v="1000"/>
    <n v="10500000"/>
  </r>
  <r>
    <d v="2020-02-25T00:00:00"/>
    <s v="TOKO YENNI SUSILAWATI"/>
    <s v="BERAS"/>
    <n v="1500"/>
    <n v="15750000"/>
  </r>
  <r>
    <d v="2020-02-25T00:00:00"/>
    <s v="TOKO KARDI"/>
    <s v="BERAS"/>
    <n v="2600"/>
    <n v="27300000"/>
  </r>
  <r>
    <d v="2020-02-25T00:00:00"/>
    <s v="TOKO SUNDARIANTO"/>
    <s v="BERAS"/>
    <n v="900"/>
    <n v="9450000"/>
  </r>
  <r>
    <d v="2020-02-25T00:00:00"/>
    <s v="TOKO QOYIM MASYAHARI"/>
    <s v="BERAS"/>
    <n v="500"/>
    <n v="5250000"/>
  </r>
  <r>
    <d v="2020-02-25T00:00:00"/>
    <s v="TOKO HENI LAY"/>
    <s v="BERAS"/>
    <n v="1000"/>
    <n v="10500000"/>
  </r>
  <r>
    <d v="2020-02-25T00:00:00"/>
    <s v="TOKO SOFIAN"/>
    <s v="BERAS"/>
    <n v="3000"/>
    <n v="31500000"/>
  </r>
  <r>
    <d v="2020-02-26T00:00:00"/>
    <s v="TOKO. M. FAHRIZA"/>
    <s v="BERAS"/>
    <n v="400"/>
    <n v="3929200"/>
  </r>
  <r>
    <d v="2020-02-26T00:00:00"/>
    <s v="TOKO. M. FAHRIZA"/>
    <s v="DAGING"/>
    <n v="140"/>
    <n v="9800000"/>
  </r>
  <r>
    <d v="2020-02-26T00:00:00"/>
    <s v="MEKAR SARI"/>
    <s v="BERAS"/>
    <n v="600"/>
    <n v="5893800"/>
  </r>
  <r>
    <d v="2020-02-26T00:00:00"/>
    <s v="MEKAR SARI"/>
    <s v="DAGING"/>
    <n v="160"/>
    <n v="11200000"/>
  </r>
  <r>
    <d v="2020-02-26T00:00:00"/>
    <s v="YAYASAN KESEJAHTERAAN PEGAWAI (YKP) BNI"/>
    <s v="BERAS"/>
    <n v="400"/>
    <n v="4800000"/>
  </r>
  <r>
    <d v="2020-02-26T00:00:00"/>
    <s v="YAYASAN KESEJAHTERAAN PEGAWAI (YKP) BNI"/>
    <s v="BERAS"/>
    <n v="160"/>
    <n v="3680000"/>
  </r>
  <r>
    <d v="2020-02-27T00:00:00"/>
    <s v="YAYASAN KESEJAHTERAAN PEGAWAI (YKP) BNI"/>
    <s v="BERAS"/>
    <n v="4"/>
    <n v="92000"/>
  </r>
  <r>
    <d v="2020-02-27T00:00:00"/>
    <s v="ANAPSA"/>
    <s v="BERAS"/>
    <n v="500"/>
    <n v="4911500"/>
  </r>
  <r>
    <d v="2020-02-27T00:00:00"/>
    <s v="ANAPSA"/>
    <s v="DAGING"/>
    <n v="100"/>
    <n v="7000000"/>
  </r>
  <r>
    <d v="2020-02-27T00:00:00"/>
    <s v="TOKO BU YULI"/>
    <s v="BERAS"/>
    <n v="700"/>
    <n v="6876100"/>
  </r>
  <r>
    <d v="2020-02-27T00:00:00"/>
    <s v="TOKO BU YULI"/>
    <s v="DAGING"/>
    <n v="120"/>
    <n v="8400000"/>
  </r>
  <r>
    <d v="2020-02-27T00:00:00"/>
    <s v="TOKO BU YULI"/>
    <s v="MIGOR"/>
    <n v="120"/>
    <n v="1428000"/>
  </r>
  <r>
    <d v="2020-02-27T00:00:00"/>
    <s v="TOKO BU YULI"/>
    <s v="TEPUNG"/>
    <n v="100"/>
    <n v="830000"/>
  </r>
  <r>
    <d v="2020-03-03T00:00:00"/>
    <s v="TOKO SIDAK"/>
    <s v="BERAS"/>
    <n v="100"/>
    <n v="1030000"/>
  </r>
  <r>
    <d v="2020-03-03T00:00:00"/>
    <s v="TOKO SIDAK"/>
    <s v="BERAS"/>
    <n v="850"/>
    <n v="8340200"/>
  </r>
  <r>
    <d v="2020-03-03T00:00:00"/>
    <s v="TOKO SIDAK"/>
    <s v="DAGING"/>
    <n v="40"/>
    <n v="2800000"/>
  </r>
  <r>
    <d v="2020-03-03T00:00:00"/>
    <s v="TOKO SIDAK"/>
    <s v="MIGOR"/>
    <n v="144"/>
    <n v="1713600"/>
  </r>
  <r>
    <d v="2020-03-03T00:00:00"/>
    <s v="TOKO ANUGRAH"/>
    <s v="BERAS"/>
    <n v="240"/>
    <n v="2448000"/>
  </r>
  <r>
    <d v="2020-03-03T00:00:00"/>
    <s v="TOKO ANUGRAH"/>
    <s v="BERAS"/>
    <n v="750"/>
    <n v="7359000"/>
  </r>
  <r>
    <d v="2020-03-04T00:00:00"/>
    <s v="TOKO CHALLISTA"/>
    <s v="BERAS"/>
    <n v="300"/>
    <n v="3060000"/>
  </r>
  <r>
    <d v="2020-03-04T00:00:00"/>
    <s v="TOKO CHALLISTA"/>
    <s v="BERAS"/>
    <n v="350"/>
    <n v="3434200"/>
  </r>
  <r>
    <d v="2020-03-05T00:00:00"/>
    <s v="TOKO ASSYAKIRIN"/>
    <s v="BERAS"/>
    <n v="350"/>
    <n v="3570000"/>
  </r>
  <r>
    <d v="2020-03-05T00:00:00"/>
    <s v="TOKO ASSYAKIRIN"/>
    <s v="DAGING"/>
    <n v="180"/>
    <n v="12600000"/>
  </r>
  <r>
    <d v="2020-03-06T00:00:00"/>
    <s v="TOKO USAHA"/>
    <s v="BERAS"/>
    <n v="300"/>
    <n v="2943600"/>
  </r>
  <r>
    <d v="2020-03-06T00:00:00"/>
    <s v="TOKO USAHA"/>
    <s v="DAGING"/>
    <n v="60"/>
    <n v="4200000"/>
  </r>
  <r>
    <d v="2020-03-06T00:00:00"/>
    <s v="TOKO MAJU TERUS"/>
    <s v="BERAS"/>
    <n v="500"/>
    <n v="4906000"/>
  </r>
  <r>
    <d v="2020-03-06T00:00:00"/>
    <s v="TOKO MAJU TERUS"/>
    <s v="DAGING"/>
    <n v="80"/>
    <n v="5600000"/>
  </r>
  <r>
    <d v="2020-03-06T00:00:00"/>
    <s v="TOKO MAJU TERUS"/>
    <s v="MIGOR"/>
    <n v="72"/>
    <n v="856800"/>
  </r>
  <r>
    <d v="2020-03-06T00:00:00"/>
    <s v="TOKO MAJU TERUS"/>
    <s v="TEPUNG"/>
    <n v="40"/>
    <n v="332000"/>
  </r>
  <r>
    <d v="2020-03-06T00:00:00"/>
    <s v="TOKO FEBRIANTI INDAH LESTARI"/>
    <s v="BERAS"/>
    <n v="2000"/>
    <n v="21000000"/>
  </r>
  <r>
    <d v="2020-03-06T00:00:00"/>
    <s v="TOKO KHET MEN"/>
    <s v="BERAS"/>
    <n v="1000"/>
    <n v="10500000"/>
  </r>
  <r>
    <d v="2020-03-06T00:00:00"/>
    <s v="TOKO EKA SAPUTRA JAYA"/>
    <s v="BERAS"/>
    <n v="4000"/>
    <n v="42000000"/>
  </r>
  <r>
    <d v="2020-03-09T00:00:00"/>
    <s v="TOKO LANSIA"/>
    <s v="BERAS"/>
    <n v="150"/>
    <n v="1530000"/>
  </r>
  <r>
    <d v="2020-03-09T00:00:00"/>
    <s v="TOKO LANSIA"/>
    <s v="BERAS"/>
    <n v="650"/>
    <n v="6377800"/>
  </r>
  <r>
    <d v="2020-03-09T00:00:00"/>
    <s v="TOKO LANSIA"/>
    <s v="DAGING"/>
    <n v="20"/>
    <n v="1400000"/>
  </r>
  <r>
    <d v="2020-03-09T00:00:00"/>
    <s v="TOKO HERUNIAWATI"/>
    <s v="BERAS"/>
    <n v="700"/>
    <n v="6868400"/>
  </r>
  <r>
    <d v="2020-03-09T00:00:00"/>
    <s v="TOKO HERUNIAWATI"/>
    <s v="DAGING"/>
    <n v="40"/>
    <n v="2800000"/>
  </r>
  <r>
    <d v="2020-03-10T00:00:00"/>
    <s v="TOKO ANTONIUS"/>
    <s v="BERAS"/>
    <n v="10000"/>
    <n v="105000000"/>
  </r>
  <r>
    <d v="2020-03-10T00:00:00"/>
    <s v="TOKO SARDIYANTO"/>
    <s v="BERAS"/>
    <n v="750"/>
    <n v="7875000"/>
  </r>
  <r>
    <d v="2020-03-10T00:00:00"/>
    <s v="TOKO IDAWATI"/>
    <s v="BERAS"/>
    <n v="510"/>
    <n v="5355000"/>
  </r>
  <r>
    <d v="2020-03-10T00:00:00"/>
    <s v="TOKO MIKA ERNAWATI"/>
    <s v="BERAS"/>
    <n v="1000"/>
    <n v="10500000"/>
  </r>
  <r>
    <d v="2020-03-10T00:00:00"/>
    <s v="TOKO FAKHLI HARUDI"/>
    <s v="BERAS"/>
    <n v="8000"/>
    <n v="84000000"/>
  </r>
  <r>
    <d v="2020-03-11T00:00:00"/>
    <s v="TOKO HERWIN"/>
    <s v="BERAS"/>
    <n v="20460"/>
    <n v="214830000"/>
  </r>
  <r>
    <d v="2020-03-11T00:00:00"/>
    <s v="TOKO DIANA RISTA"/>
    <s v="BERAS"/>
    <n v="4000"/>
    <n v="42000000"/>
  </r>
  <r>
    <d v="2020-03-11T00:00:00"/>
    <s v="WARUNG NAK ZIHAN"/>
    <s v="BERAS"/>
    <n v="900"/>
    <n v="8830800"/>
  </r>
  <r>
    <d v="2020-03-11T00:00:00"/>
    <s v="WARUNG NAK ZIHAN"/>
    <s v="MIGOR"/>
    <n v="84"/>
    <n v="999600"/>
  </r>
  <r>
    <d v="2020-03-11T00:00:00"/>
    <s v="WARUNG NAK ZIHAN"/>
    <s v="TEPUNG"/>
    <n v="40"/>
    <n v="332000"/>
  </r>
  <r>
    <d v="2020-03-11T00:00:00"/>
    <s v="TOKO ABANG HERIYANSYAH"/>
    <s v="BERAS"/>
    <n v="700"/>
    <n v="6868400"/>
  </r>
  <r>
    <d v="2020-03-11T00:00:00"/>
    <s v="TOKO ABANG HERIYANSYAH"/>
    <s v="MIGOR"/>
    <n v="300"/>
    <n v="3570000"/>
  </r>
  <r>
    <d v="2020-03-12T00:00:00"/>
    <s v="SAHABAT ANDA"/>
    <s v="BERAS"/>
    <n v="800"/>
    <n v="7849600"/>
  </r>
  <r>
    <d v="2020-03-12T00:00:00"/>
    <s v="SAHABAT ANDA"/>
    <s v="DAGING"/>
    <n v="20"/>
    <n v="1400000"/>
  </r>
  <r>
    <d v="2020-03-12T00:00:00"/>
    <s v="SAHABAT ANDA"/>
    <s v="TEPUNG"/>
    <n v="140"/>
    <n v="1162000"/>
  </r>
  <r>
    <d v="2020-03-13T00:00:00"/>
    <s v="TOKO CAH HERU"/>
    <s v="BERAS"/>
    <n v="750"/>
    <n v="7875000"/>
  </r>
  <r>
    <d v="2020-03-13T00:00:00"/>
    <s v="TOKO ISNANI SITI RAFIAH"/>
    <s v="BERAS"/>
    <n v="1000"/>
    <n v="10500000"/>
  </r>
  <r>
    <d v="2020-03-13T00:00:00"/>
    <s v="TOKO DIDIK PRIOJADMIKO"/>
    <s v="BERAS"/>
    <n v="4000"/>
    <n v="42000000"/>
  </r>
  <r>
    <d v="2020-03-13T00:00:00"/>
    <s v="TOKO ANTONIUS"/>
    <s v="BERAS"/>
    <n v="15000"/>
    <n v="157500000"/>
  </r>
  <r>
    <d v="2020-03-13T00:00:00"/>
    <s v="TOKO HERWIN"/>
    <s v="BERAS"/>
    <n v="10450"/>
    <n v="109725000"/>
  </r>
  <r>
    <d v="2020-03-13T00:00:00"/>
    <s v="TOKO ARI YANTO"/>
    <s v="BERAS"/>
    <n v="7200"/>
    <n v="75600000"/>
  </r>
  <r>
    <d v="2020-03-13T00:00:00"/>
    <s v="TOKO AGUSTINUS"/>
    <s v="BERAS"/>
    <n v="4700"/>
    <n v="49350000"/>
  </r>
  <r>
    <d v="2020-03-17T00:00:00"/>
    <s v="TOKO AQIL"/>
    <s v="BERAS"/>
    <n v="900"/>
    <n v="8840700"/>
  </r>
  <r>
    <d v="2020-03-17T00:00:00"/>
    <s v="TOKO AQIL"/>
    <s v="DAGING"/>
    <n v="100"/>
    <n v="7000000"/>
  </r>
  <r>
    <d v="2020-03-17T00:00:00"/>
    <s v="TOKO AQIL"/>
    <s v="MIGOR"/>
    <n v="360"/>
    <n v="4284000"/>
  </r>
  <r>
    <d v="2020-03-17T00:00:00"/>
    <s v="TOKO SIGID PAMBUDI"/>
    <s v="BERAS"/>
    <n v="600"/>
    <n v="5893800"/>
  </r>
  <r>
    <d v="2020-03-17T00:00:00"/>
    <s v="TOKO SIGID PAMBUDI"/>
    <s v="DAGING"/>
    <n v="60"/>
    <n v="4200000"/>
  </r>
  <r>
    <d v="2020-03-17T00:00:00"/>
    <s v="TOKO SIGID PAMBUDI"/>
    <s v="MIGOR"/>
    <n v="432"/>
    <n v="5140800"/>
  </r>
  <r>
    <d v="2020-03-18T00:00:00"/>
    <s v="TOKO. BUMDES JAYA"/>
    <s v="BERAS"/>
    <n v="700"/>
    <n v="6876100"/>
  </r>
  <r>
    <d v="2020-03-18T00:00:00"/>
    <s v="TOKO. BUMDES JAYA"/>
    <s v="DAGING"/>
    <n v="120"/>
    <n v="8400000"/>
  </r>
  <r>
    <d v="2020-03-18T00:00:00"/>
    <s v="TOKO DEB"/>
    <s v="BERAS"/>
    <n v="500"/>
    <n v="4911500"/>
  </r>
  <r>
    <d v="2020-03-18T00:00:00"/>
    <s v="TOKO DEB"/>
    <s v="DAGING"/>
    <n v="100"/>
    <n v="7000000"/>
  </r>
  <r>
    <d v="2020-03-19T00:00:00"/>
    <s v="TOKO ANDRI SUGIANTO"/>
    <s v="BERAS"/>
    <n v="9500"/>
    <n v="99750000"/>
  </r>
  <r>
    <d v="2020-03-19T00:00:00"/>
    <s v="TOKO SYARBINUS PANGKAS"/>
    <s v="BERAS"/>
    <n v="7700"/>
    <n v="80850000"/>
  </r>
  <r>
    <d v="2020-03-19T00:00:00"/>
    <s v="TOKO HENI LAY"/>
    <s v="BERAS"/>
    <n v="3000"/>
    <n v="31500000"/>
  </r>
  <r>
    <d v="2020-03-19T00:00:00"/>
    <s v="TOKO SAPARNI"/>
    <s v="BERAS"/>
    <n v="8800"/>
    <n v="92400000"/>
  </r>
  <r>
    <d v="2020-03-19T00:00:00"/>
    <s v="TOKO DIANA RISTA"/>
    <s v="BERAS"/>
    <n v="11000"/>
    <n v="115500000"/>
  </r>
  <r>
    <d v="2020-03-20T00:00:00"/>
    <s v="TOKO FATHULLAH ZIKRI"/>
    <s v="BERAS"/>
    <n v="300"/>
    <n v="3060000"/>
  </r>
  <r>
    <d v="2020-03-20T00:00:00"/>
    <s v="TOKO FATHULLAH ZIKRI"/>
    <s v="BERAS"/>
    <n v="600"/>
    <n v="5893800"/>
  </r>
  <r>
    <d v="2020-03-20T00:00:00"/>
    <s v="TOKO KEDAI YUDA"/>
    <s v="BERAS"/>
    <n v="270"/>
    <n v="2754000"/>
  </r>
  <r>
    <d v="2020-03-20T00:00:00"/>
    <s v="TOKO KEDAI YUDA"/>
    <s v="BERAS"/>
    <n v="500"/>
    <n v="4911500"/>
  </r>
  <r>
    <d v="2020-03-23T00:00:00"/>
    <s v="TOKO FAHRI"/>
    <s v="BERAS"/>
    <n v="100"/>
    <n v="1030000"/>
  </r>
  <r>
    <d v="2020-03-23T00:00:00"/>
    <s v="TOKO FAHRI"/>
    <s v="BERAS"/>
    <n v="900"/>
    <n v="8840700"/>
  </r>
  <r>
    <d v="2020-03-23T00:00:00"/>
    <s v="TOKO FAHRI"/>
    <s v="DAGING"/>
    <n v="80"/>
    <n v="5600000"/>
  </r>
  <r>
    <d v="2020-03-23T00:00:00"/>
    <s v="TOKO KOPERASI KONSUMEN SYARIAH BERKAH BERSEMI"/>
    <s v="BERAS"/>
    <n v="150"/>
    <n v="1545000"/>
  </r>
  <r>
    <d v="2020-03-23T00:00:00"/>
    <s v="TOKO KOPERASI KONSUMEN SYARIAH BERKAH BERSEMI"/>
    <s v="BERAS"/>
    <n v="700"/>
    <n v="6876100"/>
  </r>
  <r>
    <d v="2020-03-23T00:00:00"/>
    <s v="TOKO KOPERASI KONSUMEN SYARIAH BERKAH BERSEMI"/>
    <s v="DAGING"/>
    <n v="60"/>
    <n v="4200000"/>
  </r>
  <r>
    <d v="2020-03-23T00:00:00"/>
    <s v="YAYASAN KESEJAHTERAAN PEGAWAI (YKP) BNI"/>
    <s v="BERAS"/>
    <n v="195"/>
    <n v="2340000"/>
  </r>
  <r>
    <d v="2020-03-23T00:00:00"/>
    <s v="YAYASAN KESEJAHTERAAN PEGAWAI (YKP) BNI"/>
    <s v="BERAS"/>
    <n v="78"/>
    <n v="1794000"/>
  </r>
  <r>
    <d v="2020-03-24T00:00:00"/>
    <s v="YAYASAN KESEJAHTERAAN PEGAWAI (YKP) BNI"/>
    <s v="BERAS"/>
    <n v="2"/>
    <n v="46000"/>
  </r>
  <r>
    <d v="2020-03-24T00:00:00"/>
    <s v="TOKO BUNAWI"/>
    <s v="BERAS"/>
    <n v="500"/>
    <n v="4911500"/>
  </r>
  <r>
    <d v="2020-03-24T00:00:00"/>
    <s v="TOKO BUNAWI"/>
    <s v="MIGOR"/>
    <n v="504"/>
    <n v="5997600"/>
  </r>
  <r>
    <d v="2020-03-24T00:00:00"/>
    <s v="TOKO NURFADILAH"/>
    <s v="BERAS"/>
    <n v="55"/>
    <n v="566500"/>
  </r>
  <r>
    <d v="2020-03-24T00:00:00"/>
    <s v="TOKO NURFADILAH"/>
    <s v="BERAS"/>
    <n v="600"/>
    <n v="5893800"/>
  </r>
  <r>
    <d v="2020-03-24T00:00:00"/>
    <s v="TOKO NURFADILAH"/>
    <s v="MIGOR"/>
    <n v="504"/>
    <n v="5997600"/>
  </r>
  <r>
    <d v="2020-03-26T00:00:00"/>
    <s v="HARYA SARI"/>
    <s v="BERAS"/>
    <n v="600"/>
    <n v="5893800"/>
  </r>
  <r>
    <d v="2020-03-26T00:00:00"/>
    <s v="HARYA SARI"/>
    <s v="DAGING"/>
    <n v="60"/>
    <n v="4200000"/>
  </r>
  <r>
    <d v="2020-03-30T00:00:00"/>
    <s v="TOKO SUPER STOCK"/>
    <s v="BERAS"/>
    <n v="650"/>
    <n v="6384950"/>
  </r>
  <r>
    <d v="2020-03-30T00:00:00"/>
    <s v="TOKO SUPER STOCK"/>
    <s v="DAGING"/>
    <n v="60"/>
    <n v="4200000"/>
  </r>
  <r>
    <d v="2020-03-30T00:00:00"/>
    <s v="TOKO MUNIR"/>
    <s v="BERAS"/>
    <n v="750"/>
    <n v="7367250"/>
  </r>
  <r>
    <d v="2020-03-30T00:00:00"/>
    <s v="TOKO MUNIR"/>
    <s v="DAGING"/>
    <n v="80"/>
    <n v="5600000"/>
  </r>
  <r>
    <d v="2020-04-03T00:00:00"/>
    <s v="TOKO PANISITAWATI HERMINA PAULA"/>
    <s v="BERAS"/>
    <n v="4000"/>
    <n v="42000000"/>
  </r>
  <r>
    <d v="2020-04-03T00:00:00"/>
    <s v="TOKO MARDIUS"/>
    <s v="BERAS"/>
    <n v="3500"/>
    <n v="36750000"/>
  </r>
  <r>
    <d v="2020-04-06T00:00:00"/>
    <s v="TOKO DWI SUSILO"/>
    <s v="BERAS"/>
    <n v="2100"/>
    <n v="22050000"/>
  </r>
  <r>
    <d v="2020-04-06T00:00:00"/>
    <s v="TOKO ASEP SAFRUDIN"/>
    <s v="BERAS"/>
    <n v="1000"/>
    <n v="10500000"/>
  </r>
  <r>
    <d v="2020-04-07T00:00:00"/>
    <s v="TOKO HERWIN"/>
    <s v="BERAS"/>
    <n v="5440"/>
    <n v="57120000"/>
  </r>
  <r>
    <d v="2020-04-08T00:00:00"/>
    <s v="TOKO WARUNG SANTI"/>
    <s v="DAGING"/>
    <n v="200"/>
    <n v="14000000"/>
  </r>
  <r>
    <d v="2020-04-08T00:00:00"/>
    <s v="TOKO BUNGUR"/>
    <s v="DAGING"/>
    <n v="200"/>
    <n v="14000000"/>
  </r>
  <r>
    <d v="2020-04-09T00:00:00"/>
    <s v="TOKO KIAN KIONG"/>
    <s v="BERAS"/>
    <n v="930"/>
    <n v="9765000"/>
  </r>
  <r>
    <d v="2020-04-13T00:00:00"/>
    <s v="TOKO HERWIN"/>
    <s v="BERAS"/>
    <n v="13650"/>
    <n v="143325000"/>
  </r>
  <r>
    <d v="2020-04-13T00:00:00"/>
    <s v="TOKO AGUSTINUS"/>
    <s v="BERAS"/>
    <n v="5000"/>
    <n v="52500000"/>
  </r>
  <r>
    <d v="2020-04-13T00:00:00"/>
    <s v="TOKO ARI YANTO"/>
    <s v="BERAS"/>
    <n v="1800"/>
    <n v="18900000"/>
  </r>
  <r>
    <d v="2020-04-14T00:00:00"/>
    <s v="TOKO HIDAYAH"/>
    <s v="BERAS"/>
    <n v="900"/>
    <n v="8840700"/>
  </r>
  <r>
    <d v="2020-04-14T00:00:00"/>
    <s v="TOKO HIDAYAH"/>
    <s v="DAGING"/>
    <n v="200"/>
    <n v="14000000"/>
  </r>
  <r>
    <d v="2020-04-14T00:00:00"/>
    <s v="TOKO HIDAYAH"/>
    <s v="MIGOR"/>
    <n v="120"/>
    <n v="1482000"/>
  </r>
  <r>
    <d v="2020-04-14T00:00:00"/>
    <s v="TOKO HIDAYAH"/>
    <s v="TEPUNG"/>
    <n v="140"/>
    <n v="1120000"/>
  </r>
  <r>
    <d v="2020-04-14T00:00:00"/>
    <s v="TOKO ABANG HERIYANSYAH"/>
    <s v="BERAS"/>
    <n v="1000"/>
    <n v="9823000"/>
  </r>
  <r>
    <d v="2020-04-14T00:00:00"/>
    <s v="TOKO ABANG HERIYANSYAH"/>
    <s v="DAGING"/>
    <n v="180"/>
    <n v="12600000"/>
  </r>
  <r>
    <d v="2020-04-14T00:00:00"/>
    <s v="TOKO ABANG HERIYANSYAH"/>
    <s v="MIGOR"/>
    <n v="984"/>
    <n v="12152400"/>
  </r>
  <r>
    <d v="2020-04-14T00:00:00"/>
    <s v="TOKO ABANG HERIYANSYAH"/>
    <s v="TEPUNG"/>
    <n v="160"/>
    <n v="1280000"/>
  </r>
  <r>
    <d v="2020-04-14T00:00:00"/>
    <s v="TOKO KOTABARU"/>
    <s v="BERAS"/>
    <n v="1500"/>
    <n v="14734500"/>
  </r>
  <r>
    <d v="2020-04-14T00:00:00"/>
    <s v="TOKO KOTABARU"/>
    <s v="DAGING"/>
    <n v="100"/>
    <n v="7000000"/>
  </r>
  <r>
    <d v="2020-04-14T00:00:00"/>
    <s v="KARUNIA"/>
    <s v="BERAS"/>
    <n v="800"/>
    <n v="7858400"/>
  </r>
  <r>
    <d v="2020-04-14T00:00:00"/>
    <s v="KARUNIA"/>
    <s v="DAGING"/>
    <n v="100"/>
    <n v="7000000"/>
  </r>
  <r>
    <d v="2020-04-14T00:00:00"/>
    <s v="TOKO KARYA BINJAI"/>
    <s v="BERAS"/>
    <n v="850"/>
    <n v="8349550"/>
  </r>
  <r>
    <d v="2020-04-14T00:00:00"/>
    <s v="TOKO KARYA BINJAI"/>
    <s v="DAGING"/>
    <n v="80"/>
    <n v="5600000"/>
  </r>
  <r>
    <d v="2020-04-14T00:00:00"/>
    <s v="TOKO REVAN"/>
    <s v="BERAS"/>
    <n v="950"/>
    <n v="9331850"/>
  </r>
  <r>
    <d v="2020-04-14T00:00:00"/>
    <s v="TOKO REVAN"/>
    <s v="DAGING"/>
    <n v="60"/>
    <n v="4200000"/>
  </r>
  <r>
    <d v="2020-04-15T00:00:00"/>
    <s v="TOKO KIAN KIONG"/>
    <s v="BERAS"/>
    <n v="4150"/>
    <n v="43575000"/>
  </r>
  <r>
    <d v="2020-04-15T00:00:00"/>
    <s v="TOKO HERU SUSANTO"/>
    <s v="BERAS"/>
    <n v="7000"/>
    <n v="73500000"/>
  </r>
  <r>
    <d v="2020-04-15T00:00:00"/>
    <s v="TOKO JUANTI"/>
    <s v="BERAS"/>
    <n v="3400"/>
    <n v="35700000"/>
  </r>
  <r>
    <d v="2020-04-16T00:00:00"/>
    <s v="KOPERASI BRI MELAWI"/>
    <s v="BERAS"/>
    <n v="1250"/>
    <n v="12875000"/>
  </r>
  <r>
    <d v="2020-04-16T00:00:00"/>
    <s v="KOPERASI BRI MELAWI"/>
    <s v="MIGOR"/>
    <n v="250"/>
    <n v="3087500"/>
  </r>
  <r>
    <d v="2020-04-16T00:00:00"/>
    <s v="TOKO ABIZAR"/>
    <s v="BERAS"/>
    <n v="400"/>
    <n v="4120000"/>
  </r>
  <r>
    <d v="2020-04-16T00:00:00"/>
    <s v="TOKO ABIZAR"/>
    <s v="BERAS"/>
    <n v="1100"/>
    <n v="10805300"/>
  </r>
  <r>
    <d v="2020-04-16T00:00:00"/>
    <s v="TOKO ABIZAR"/>
    <s v="DAGING"/>
    <n v="60"/>
    <n v="4200000"/>
  </r>
  <r>
    <d v="2020-04-16T00:00:00"/>
    <s v="ANDY"/>
    <s v="BERAS"/>
    <n v="350"/>
    <n v="3605000"/>
  </r>
  <r>
    <d v="2020-04-16T00:00:00"/>
    <s v="ANDY"/>
    <s v="BERAS"/>
    <n v="900"/>
    <n v="8840700"/>
  </r>
  <r>
    <d v="2020-04-16T00:00:00"/>
    <s v="ANDY"/>
    <s v="DAGING"/>
    <n v="60"/>
    <n v="4200000"/>
  </r>
  <r>
    <d v="2020-04-20T00:00:00"/>
    <s v="TOKO RIZKI SAKYAH"/>
    <s v="BERAS"/>
    <n v="700"/>
    <n v="7140000"/>
  </r>
  <r>
    <d v="2020-04-20T00:00:00"/>
    <s v="TOKO RIZKI SAKYAH"/>
    <s v="BERAS"/>
    <n v="800"/>
    <n v="7858400"/>
  </r>
  <r>
    <d v="2020-04-20T00:00:00"/>
    <s v="TOKO RIZKI SAKYAH"/>
    <s v="DAGING"/>
    <n v="140"/>
    <n v="9800000"/>
  </r>
  <r>
    <d v="2020-04-20T00:00:00"/>
    <s v="TOKO RIZKI SAKYAH"/>
    <s v="MIGOR"/>
    <n v="72"/>
    <n v="889200"/>
  </r>
  <r>
    <d v="2020-04-20T00:00:00"/>
    <s v="TOKO RIZKI SAKYAH"/>
    <s v="TEPUNG"/>
    <n v="120"/>
    <n v="960000"/>
  </r>
  <r>
    <d v="2020-04-20T00:00:00"/>
    <s v="TOKO YOGI"/>
    <s v="BERAS"/>
    <n v="800"/>
    <n v="8160000"/>
  </r>
  <r>
    <d v="2020-04-20T00:00:00"/>
    <s v="TOKO YOGI"/>
    <s v="BERAS"/>
    <n v="750"/>
    <n v="7367250"/>
  </r>
  <r>
    <d v="2020-04-20T00:00:00"/>
    <s v="TOKO YOGI"/>
    <s v="DAGING"/>
    <n v="160"/>
    <n v="11200000"/>
  </r>
  <r>
    <d v="2020-04-20T00:00:00"/>
    <s v="TOKO YOGI"/>
    <s v="MIGOR"/>
    <n v="74"/>
    <n v="913900"/>
  </r>
  <r>
    <d v="2020-04-20T00:00:00"/>
    <s v="TOKO YOGI"/>
    <s v="TEPUNG"/>
    <n v="330"/>
    <n v="2640000"/>
  </r>
  <r>
    <d v="2020-04-20T00:00:00"/>
    <s v="TOKO SUKA SUKA"/>
    <s v="BERAS"/>
    <n v="550"/>
    <n v="5610000"/>
  </r>
  <r>
    <d v="2020-04-20T00:00:00"/>
    <s v="TOKO SUKA SUKA"/>
    <s v="BERAS"/>
    <n v="250"/>
    <n v="2455750"/>
  </r>
  <r>
    <d v="2020-04-20T00:00:00"/>
    <s v="TOKO SUKA SUKA"/>
    <s v="DAGING"/>
    <n v="20"/>
    <n v="1400000"/>
  </r>
  <r>
    <d v="2020-04-20T00:00:00"/>
    <s v="TOKO SUKA SUKA"/>
    <s v="DAGING"/>
    <n v="80"/>
    <n v="5600000"/>
  </r>
  <r>
    <d v="2020-04-20T00:00:00"/>
    <s v="TOKO IRVA"/>
    <s v="BERAS"/>
    <n v="450"/>
    <n v="4590000"/>
  </r>
  <r>
    <d v="2020-04-20T00:00:00"/>
    <s v="TOKO IRVA"/>
    <s v="BERAS"/>
    <n v="200"/>
    <n v="1964600"/>
  </r>
  <r>
    <d v="2020-04-20T00:00:00"/>
    <s v="TOKO IRVA"/>
    <s v="DAGING"/>
    <n v="100"/>
    <n v="7000000"/>
  </r>
  <r>
    <d v="2020-04-22T00:00:00"/>
    <s v="TOKO SULASTRI AGUSTINI"/>
    <s v="DAGING"/>
    <n v="400"/>
    <n v="28000000"/>
  </r>
  <r>
    <d v="2020-04-22T00:00:00"/>
    <s v="TOKO KINORA"/>
    <s v="DAGING"/>
    <n v="100"/>
    <n v="7000000"/>
  </r>
  <r>
    <d v="2020-04-24T00:00:00"/>
    <s v="TOKO BOB-I"/>
    <s v="DAGING"/>
    <n v="200"/>
    <n v="14000000"/>
  </r>
  <r>
    <d v="2020-04-24T00:00:00"/>
    <s v="TOKO MAJU TERUS"/>
    <s v="DAGING"/>
    <n v="200"/>
    <n v="14000000"/>
  </r>
  <r>
    <d v="2020-04-24T00:00:00"/>
    <s v="WARUNG NAK ZIHAN"/>
    <s v="DAGING"/>
    <n v="200"/>
    <n v="14000000"/>
  </r>
  <r>
    <d v="2020-04-24T00:00:00"/>
    <s v="TOKO HIDAYAH"/>
    <s v="DAGING"/>
    <n v="200"/>
    <n v="14000000"/>
  </r>
  <r>
    <d v="2020-04-24T00:00:00"/>
    <s v="SAHABAT ANDA"/>
    <s v="DAGING"/>
    <n v="200"/>
    <n v="14000000"/>
  </r>
  <r>
    <d v="2020-04-24T00:00:00"/>
    <s v="TOKO SULASTRI AGUSTINI"/>
    <s v="DAGING"/>
    <n v="300"/>
    <n v="21000000"/>
  </r>
  <r>
    <d v="2020-04-28T00:00:00"/>
    <s v="TOKO DARKUM KOPERASI DISPERINDAG"/>
    <s v="BERAS"/>
    <n v="120"/>
    <n v="1236000"/>
  </r>
  <r>
    <d v="2020-04-28T00:00:00"/>
    <s v="TOKO DARKUM KOPERASI DISPERINDAG"/>
    <s v="BERAS"/>
    <n v="4"/>
    <n v="92000"/>
  </r>
  <r>
    <d v="2020-04-28T00:00:00"/>
    <s v="TOKO DARKUM KOPERASI DISPERINDAG"/>
    <s v="DAGING"/>
    <n v="200"/>
    <n v="14000000"/>
  </r>
  <r>
    <d v="2020-04-28T00:00:00"/>
    <s v="TOKO DARKUM KOPERASI DISPERINDAG"/>
    <s v="MIGOR"/>
    <n v="480"/>
    <n v="5928000"/>
  </r>
  <r>
    <d v="2020-04-28T00:00:00"/>
    <s v="TOKO DARKUM KOPERASI DISPERINDAG"/>
    <s v="TEPUNG"/>
    <n v="240"/>
    <n v="1920000"/>
  </r>
  <r>
    <d v="2020-04-28T00:00:00"/>
    <s v="TOKO IFAL"/>
    <s v="DAGING"/>
    <n v="180"/>
    <n v="12600000"/>
  </r>
  <r>
    <d v="2020-04-28T00:00:00"/>
    <s v="TOKO BERKAH DUA PUTRA"/>
    <s v="DAGING"/>
    <n v="350"/>
    <n v="24500000"/>
  </r>
  <r>
    <d v="2020-04-28T00:00:00"/>
    <s v="TOKO BERKAH DUA PUTRA"/>
    <s v="MIGOR"/>
    <n v="420"/>
    <n v="5187000"/>
  </r>
  <r>
    <d v="2020-04-28T00:00:00"/>
    <s v="TOKO BERKAH DUA PUTRA"/>
    <s v="TEPUNG"/>
    <n v="60"/>
    <n v="480000"/>
  </r>
  <r>
    <d v="2020-04-28T00:00:00"/>
    <s v="TOKO EKA SAPUTRA JAYA"/>
    <s v="DAGING"/>
    <n v="100"/>
    <n v="7000000"/>
  </r>
  <r>
    <d v="2020-04-28T00:00:00"/>
    <s v="TOKO EKA SAPUTRA JAYA"/>
    <s v="MIGOR"/>
    <n v="900"/>
    <n v="11115000"/>
  </r>
  <r>
    <d v="2020-04-28T00:00:00"/>
    <s v="TOKO EKA SAPUTRA JAYA"/>
    <s v="TEPUNG"/>
    <n v="450"/>
    <n v="3600000"/>
  </r>
  <r>
    <d v="2020-04-28T00:00:00"/>
    <s v="ANAPSA"/>
    <s v="DAGING"/>
    <n v="220"/>
    <n v="15400000"/>
  </r>
  <r>
    <d v="2020-04-28T00:00:00"/>
    <s v="MEKAR SARI"/>
    <s v="DAGING"/>
    <n v="300"/>
    <n v="21000000"/>
  </r>
  <r>
    <d v="2020-04-28T00:00:00"/>
    <s v="YAYASAN KESEJAHTERAAN PEGAWAI (YKP) BNI"/>
    <s v="BERAS"/>
    <n v="380"/>
    <n v="4560000"/>
  </r>
  <r>
    <d v="2020-04-28T00:00:00"/>
    <s v="YAYASAN KESEJAHTERAAN PEGAWAI (YKP) BNI"/>
    <s v="BERAS"/>
    <n v="152"/>
    <n v="3496000"/>
  </r>
  <r>
    <d v="2020-04-28T00:00:00"/>
    <s v="YAYASAN KESEJAHTERAAN PEGAWAI (YKP) BNI"/>
    <s v="BERAS"/>
    <n v="4"/>
    <n v="92000"/>
  </r>
  <r>
    <d v="2020-04-29T00:00:00"/>
    <s v="UMMI"/>
    <s v="DAGING"/>
    <n v="170"/>
    <n v="11900000"/>
  </r>
  <r>
    <d v="2020-04-29T00:00:00"/>
    <s v="TOKO RAHMAD"/>
    <s v="DAGING"/>
    <n v="180"/>
    <n v="12600000"/>
  </r>
  <r>
    <d v="2020-04-29T00:00:00"/>
    <s v="TOKO TOPIN"/>
    <s v="DAGING"/>
    <n v="220"/>
    <n v="15400000"/>
  </r>
  <r>
    <d v="2020-04-29T00:00:00"/>
    <s v="TOKO DHEMA"/>
    <s v="DAGING"/>
    <n v="100"/>
    <n v="7000000"/>
  </r>
  <r>
    <d v="2020-05-13T00:00:00"/>
    <s v="TOKO ENGKON"/>
    <s v="BERAS"/>
    <n v="200000"/>
    <n v="2047000000"/>
  </r>
  <r>
    <d v="2020-05-13T00:00:00"/>
    <s v="TOKO NURDIAH"/>
    <s v="MIGOR"/>
    <n v="240"/>
    <n v="2964000"/>
  </r>
  <r>
    <d v="2020-05-13T00:00:00"/>
    <s v="TOKO NURDIAH"/>
    <s v="TEPUNG"/>
    <n v="80"/>
    <n v="640000"/>
  </r>
  <r>
    <d v="2020-05-13T00:00:00"/>
    <s v="TOKO MUHAMMAD JUMADI"/>
    <s v="MIGOR"/>
    <n v="192"/>
    <n v="2371200"/>
  </r>
  <r>
    <d v="2020-05-13T00:00:00"/>
    <s v="TOKO MUHAMMAD JUMADI"/>
    <s v="TEPUNG"/>
    <n v="60"/>
    <n v="480000"/>
  </r>
  <r>
    <d v="2020-05-13T00:00:00"/>
    <s v="TOKO DWIANA MARYATI"/>
    <s v="MIGOR"/>
    <n v="180"/>
    <n v="2223000"/>
  </r>
  <r>
    <d v="2020-05-13T00:00:00"/>
    <s v="TOKO DWIANA MARYATI"/>
    <s v="TEPUNG"/>
    <n v="60"/>
    <n v="480000"/>
  </r>
  <r>
    <d v="2020-05-14T00:00:00"/>
    <s v="TOKO SIMON SUMARDI"/>
    <s v="MIGOR"/>
    <n v="300"/>
    <n v="3705000"/>
  </r>
  <r>
    <d v="2020-05-14T00:00:00"/>
    <s v="TOKO SIMON SUMARDI"/>
    <s v="TEPUNG"/>
    <n v="100"/>
    <n v="800000"/>
  </r>
  <r>
    <d v="2020-05-14T00:00:00"/>
    <s v="TOKO JANUR SAPUTRA"/>
    <s v="MIGOR"/>
    <n v="480"/>
    <n v="5928000"/>
  </r>
  <r>
    <d v="2020-05-14T00:00:00"/>
    <s v="TOKO JANUR SAPUTRA"/>
    <s v="TEPUNG"/>
    <n v="100"/>
    <n v="800000"/>
  </r>
  <r>
    <d v="2020-05-14T00:00:00"/>
    <s v="TOKO MOMONG ALPINA"/>
    <s v="MIGOR"/>
    <n v="412"/>
    <n v="5088200"/>
  </r>
  <r>
    <d v="2020-05-14T00:00:00"/>
    <s v="TOKO MOMONG ALPINA"/>
    <s v="TEPUNG"/>
    <n v="100"/>
    <n v="800000"/>
  </r>
  <r>
    <d v="2020-05-20T00:00:00"/>
    <s v="TOKO BOB-I"/>
    <s v="BERAS"/>
    <n v="950"/>
    <n v="9785000"/>
  </r>
  <r>
    <d v="2020-05-20T00:00:00"/>
    <s v="TOKO BOB-I"/>
    <s v="BERAS"/>
    <n v="2300"/>
    <n v="23460000"/>
  </r>
  <r>
    <d v="2020-05-20T00:00:00"/>
    <s v="TOKO BUMDES USAHA JAYA BERSAMA"/>
    <s v="BERAS"/>
    <n v="850"/>
    <n v="8755000"/>
  </r>
  <r>
    <d v="2020-05-20T00:00:00"/>
    <s v="TOKO BUMDES USAHA JAYA BERSAMA"/>
    <s v="BERAS"/>
    <n v="2500"/>
    <n v="25500000"/>
  </r>
  <r>
    <d v="2020-05-20T00:00:00"/>
    <s v="TOKO BERKAT USAHA"/>
    <s v="BERAS"/>
    <n v="825"/>
    <n v="8497500"/>
  </r>
  <r>
    <d v="2020-05-20T00:00:00"/>
    <s v="TOKO BERKAT USAHA"/>
    <s v="BERAS"/>
    <n v="3000"/>
    <n v="30600000"/>
  </r>
  <r>
    <d v="2020-05-20T00:00:00"/>
    <s v="TOKO BU YULI"/>
    <s v="BERAS"/>
    <n v="925"/>
    <n v="9527500"/>
  </r>
  <r>
    <d v="2020-05-20T00:00:00"/>
    <s v="TOKO BU YULI"/>
    <s v="BERAS"/>
    <n v="2250"/>
    <n v="22950000"/>
  </r>
  <r>
    <d v="2020-05-20T00:00:00"/>
    <s v="TOKO SIDAK"/>
    <s v="BERAS"/>
    <n v="750"/>
    <n v="7725000"/>
  </r>
  <r>
    <d v="2020-05-20T00:00:00"/>
    <s v="TOKO SIDAK"/>
    <s v="BERAS"/>
    <n v="2400"/>
    <n v="24480000"/>
  </r>
  <r>
    <d v="2020-05-20T00:00:00"/>
    <s v="TOKO ANUGRAH"/>
    <s v="BERAS"/>
    <n v="700"/>
    <n v="7210000"/>
  </r>
  <r>
    <d v="2020-05-20T00:00:00"/>
    <s v="TOKO ANUGRAH"/>
    <s v="BERAS"/>
    <n v="2550"/>
    <n v="26010000"/>
  </r>
  <r>
    <d v="2020-05-20T00:00:00"/>
    <s v="TOKO RITA ROSANTI"/>
    <s v="BERAS"/>
    <n v="7000"/>
    <n v="73500000"/>
  </r>
  <r>
    <d v="2020-05-20T00:00:00"/>
    <s v="TOKO SAMSUL HIDAYAT"/>
    <s v="BERAS"/>
    <n v="7000"/>
    <n v="73500000"/>
  </r>
  <r>
    <d v="2020-05-20T00:00:00"/>
    <s v="TOKO DEWI AFRITA"/>
    <s v="BERAS"/>
    <n v="6000"/>
    <n v="63000000"/>
  </r>
  <r>
    <d v="2020-05-20T00:00:00"/>
    <s v="TOKO AGUSTINUS"/>
    <s v="BERAS"/>
    <n v="4500"/>
    <n v="47250000"/>
  </r>
  <r>
    <d v="2020-05-20T00:00:00"/>
    <s v="TOKO NURFADILAH"/>
    <s v="BERAS"/>
    <n v="5500"/>
    <n v="57750000"/>
  </r>
  <r>
    <d v="2020-06-04T00:00:00"/>
    <s v="HOLIDAY MART"/>
    <s v="GULA"/>
    <n v="2500"/>
    <n v="30000000"/>
  </r>
  <r>
    <d v="2020-06-04T00:00:00"/>
    <s v="TOKO ANUGRAH"/>
    <s v="BERAS"/>
    <n v="900"/>
    <n v="8840700"/>
  </r>
  <r>
    <d v="2020-06-04T00:00:00"/>
    <s v="TOKO ANUGRAH"/>
    <s v="GULA"/>
    <n v="2500"/>
    <n v="30000000"/>
  </r>
  <r>
    <d v="2020-06-04T00:00:00"/>
    <s v="TOKO BERKAT USAHA"/>
    <s v="BERAS"/>
    <n v="1500"/>
    <n v="14734500"/>
  </r>
  <r>
    <d v="2020-06-04T00:00:00"/>
    <s v="TOKO BERKAT USAHA"/>
    <s v="GULA"/>
    <n v="8500"/>
    <n v="102000000"/>
  </r>
  <r>
    <d v="2020-06-04T00:00:00"/>
    <s v="TOKO SUPARNO (SMS)"/>
    <s v="GULA"/>
    <n v="10000"/>
    <n v="120000000"/>
  </r>
  <r>
    <d v="2020-06-04T00:00:00"/>
    <s v="TOKO APO"/>
    <s v="GULA"/>
    <n v="10000"/>
    <n v="120000000"/>
  </r>
  <r>
    <d v="2020-06-04T00:00:00"/>
    <s v="TOKO SUYONO (BINTANG KAPUAS)"/>
    <s v="GULA"/>
    <n v="8000"/>
    <n v="96000000"/>
  </r>
  <r>
    <d v="2020-06-04T00:00:00"/>
    <s v="TOKO NURDIAH"/>
    <s v="BERAS"/>
    <n v="950"/>
    <n v="9331850"/>
  </r>
  <r>
    <d v="2020-06-04T00:00:00"/>
    <s v="TOKO NURDIAH"/>
    <s v="GULA"/>
    <n v="5000"/>
    <n v="60000000"/>
  </r>
  <r>
    <d v="2020-06-04T00:00:00"/>
    <s v="TOKO NURDIAH"/>
    <s v="MIGOR"/>
    <n v="240"/>
    <n v="2964000"/>
  </r>
  <r>
    <d v="2020-06-04T00:00:00"/>
    <s v="TOKO NURDIAH"/>
    <s v="TEPUNG"/>
    <n v="60"/>
    <n v="480000"/>
  </r>
  <r>
    <d v="2020-06-04T00:00:00"/>
    <s v="TOKO MUNIR"/>
    <s v="BERAS"/>
    <n v="1250"/>
    <n v="12278750"/>
  </r>
  <r>
    <d v="2020-06-04T00:00:00"/>
    <s v="TOKO MUNIR"/>
    <s v="GULA"/>
    <n v="500"/>
    <n v="6000000"/>
  </r>
  <r>
    <d v="2020-06-04T00:00:00"/>
    <s v="TOKO ABANG HERIYANSYAH"/>
    <s v="BERAS"/>
    <n v="1500"/>
    <n v="14734500"/>
  </r>
  <r>
    <d v="2020-06-04T00:00:00"/>
    <s v="TOKO ABANG HERIYANSYAH"/>
    <s v="GULA"/>
    <n v="900"/>
    <n v="10800000"/>
  </r>
  <r>
    <d v="2020-06-04T00:00:00"/>
    <s v="TOKO ABANG HERIYANSYAH"/>
    <s v="MIGOR"/>
    <n v="600"/>
    <n v="7410000"/>
  </r>
  <r>
    <d v="2020-06-04T00:00:00"/>
    <s v="TOKO ABANG HERIYANSYAH"/>
    <s v="TEPUNG"/>
    <n v="300"/>
    <n v="2400000"/>
  </r>
  <r>
    <d v="2020-06-04T00:00:00"/>
    <s v="TOKO KOTABARU"/>
    <s v="BERAS"/>
    <n v="2500"/>
    <n v="24557500"/>
  </r>
  <r>
    <d v="2020-06-04T00:00:00"/>
    <s v="TOKO KOTABARU"/>
    <s v="GULA"/>
    <n v="8500"/>
    <n v="102000000"/>
  </r>
  <r>
    <d v="2020-06-04T00:00:00"/>
    <s v="SAHABAT ANDA"/>
    <s v="BERAS"/>
    <n v="800"/>
    <n v="7858400"/>
  </r>
  <r>
    <d v="2020-06-04T00:00:00"/>
    <s v="SAHABAT ANDA"/>
    <s v="GULA"/>
    <n v="2550"/>
    <n v="30600000"/>
  </r>
  <r>
    <d v="2020-06-04T00:00:00"/>
    <s v="SAHABAT ANDA"/>
    <s v="MIGOR"/>
    <n v="180"/>
    <n v="2223000"/>
  </r>
  <r>
    <d v="2020-06-04T00:00:00"/>
    <s v="SAHABAT ANDA"/>
    <s v="TEPUNG"/>
    <n v="160"/>
    <n v="1280000"/>
  </r>
  <r>
    <d v="2020-06-05T00:00:00"/>
    <s v="WARUNG NAK ZIHAN"/>
    <s v="BERAS"/>
    <n v="1250"/>
    <n v="12278750"/>
  </r>
  <r>
    <d v="2020-06-05T00:00:00"/>
    <s v="WARUNG NAK ZIHAN"/>
    <s v="GULA"/>
    <n v="5050"/>
    <n v="60600000"/>
  </r>
  <r>
    <d v="2020-06-05T00:00:00"/>
    <s v="TOKO FAHRI"/>
    <s v="BERAS"/>
    <n v="1000"/>
    <n v="9823000"/>
  </r>
  <r>
    <d v="2020-06-05T00:00:00"/>
    <s v="TOKO FAHRI"/>
    <s v="GULA"/>
    <n v="2000"/>
    <n v="24000000"/>
  </r>
  <r>
    <d v="2020-06-05T00:00:00"/>
    <s v="TOKO ABIZAR"/>
    <s v="BERAS"/>
    <n v="1500"/>
    <n v="14734500"/>
  </r>
  <r>
    <d v="2020-06-05T00:00:00"/>
    <s v="TOKO ABIZAR"/>
    <s v="GULA"/>
    <n v="4750"/>
    <n v="57000000"/>
  </r>
  <r>
    <d v="2020-06-05T00:00:00"/>
    <s v="TOKO TOPIN"/>
    <s v="BERAS"/>
    <n v="850"/>
    <n v="8349550"/>
  </r>
  <r>
    <d v="2020-06-05T00:00:00"/>
    <s v="TOKO TOPIN"/>
    <s v="GULA"/>
    <n v="1250"/>
    <n v="15000000"/>
  </r>
  <r>
    <d v="2020-06-05T00:00:00"/>
    <s v="TOKO SIDAK"/>
    <s v="BERAS"/>
    <n v="500"/>
    <n v="4911500"/>
  </r>
  <r>
    <d v="2020-06-05T00:00:00"/>
    <s v="TOKO SIDAK"/>
    <s v="GULA"/>
    <n v="950"/>
    <n v="11400000"/>
  </r>
  <r>
    <d v="2020-06-05T00:00:00"/>
    <s v="TOKO BOB-I"/>
    <s v="BERAS"/>
    <n v="500"/>
    <n v="4911500"/>
  </r>
  <r>
    <d v="2020-06-05T00:00:00"/>
    <s v="TOKO BOB-I"/>
    <s v="GULA"/>
    <n v="3500"/>
    <n v="42000000"/>
  </r>
  <r>
    <d v="2020-06-05T00:00:00"/>
    <s v="TOKO ARI YANTO"/>
    <s v="GULA"/>
    <n v="1000"/>
    <n v="12000000"/>
  </r>
  <r>
    <d v="2020-06-05T00:00:00"/>
    <s v="TOKO BERKAT USAHA"/>
    <s v="GULA"/>
    <n v="9550"/>
    <n v="114600000"/>
  </r>
  <r>
    <d v="2020-06-05T00:00:00"/>
    <s v="TOKO SUYONO (BINTANG KAPUAS)"/>
    <s v="GULA"/>
    <n v="13000"/>
    <n v="156000000"/>
  </r>
  <r>
    <d v="2020-06-08T00:00:00"/>
    <s v="TPK PASAR JUNJUNG BUIH"/>
    <s v="GULA"/>
    <n v="1850"/>
    <n v="22200000"/>
  </r>
  <r>
    <d v="2020-06-08T00:00:00"/>
    <s v="TOKO SUPARNO (SMS)"/>
    <s v="GULA"/>
    <n v="13000"/>
    <n v="156000000"/>
  </r>
  <r>
    <d v="2020-06-08T00:00:00"/>
    <s v="TOKO APO"/>
    <s v="GULA"/>
    <n v="6500"/>
    <n v="78000000"/>
  </r>
  <r>
    <d v="2020-06-09T00:00:00"/>
    <s v="TOKO JAYA SENTOSA"/>
    <s v="GULA"/>
    <n v="3500"/>
    <n v="42000000"/>
  </r>
  <r>
    <d v="2020-06-09T00:00:00"/>
    <s v="TOKO AMI"/>
    <s v="GULA"/>
    <n v="1300"/>
    <n v="15600000"/>
  </r>
  <r>
    <d v="2020-06-09T00:00:00"/>
    <s v="TOKO SYAMSUDIN (INTAN MART)"/>
    <s v="GULA"/>
    <n v="2000"/>
    <n v="24000000"/>
  </r>
  <r>
    <d v="2020-06-09T00:00:00"/>
    <s v="TOKO M. DJAFARI (AFAR 99)"/>
    <s v="GULA"/>
    <n v="1400"/>
    <n v="16800000"/>
  </r>
  <r>
    <d v="2020-06-09T00:00:00"/>
    <s v="TOKO BAS JAYA"/>
    <s v="GULA"/>
    <n v="2550"/>
    <n v="30600000"/>
  </r>
  <r>
    <d v="2020-06-09T00:00:00"/>
    <s v="TOKO ALIKA"/>
    <s v="GULA"/>
    <n v="1450"/>
    <n v="17400000"/>
  </r>
  <r>
    <d v="2020-06-09T00:00:00"/>
    <s v="TOKO ARDO"/>
    <s v="GULA"/>
    <n v="4300"/>
    <n v="51600000"/>
  </r>
  <r>
    <d v="2020-06-09T00:00:00"/>
    <s v="TOKO MAJU TERUS"/>
    <s v="GULA"/>
    <n v="2150"/>
    <n v="25800000"/>
  </r>
  <r>
    <d v="2020-06-09T00:00:00"/>
    <s v="TOKO ALIF"/>
    <s v="GULA"/>
    <n v="1150"/>
    <n v="13800000"/>
  </r>
  <r>
    <d v="2020-06-10T00:00:00"/>
    <s v="TOKO SYUHAINI"/>
    <s v="GULA"/>
    <n v="2950"/>
    <n v="35400000"/>
  </r>
  <r>
    <d v="2020-06-10T00:00:00"/>
    <s v="TOKO SYUHAINI"/>
    <s v="MIGOR"/>
    <n v="120"/>
    <n v="1482000"/>
  </r>
  <r>
    <d v="2020-06-10T00:00:00"/>
    <s v="TOKO SYUHAINI"/>
    <s v="TEPUNG"/>
    <n v="100"/>
    <n v="800000"/>
  </r>
  <r>
    <d v="2020-06-10T00:00:00"/>
    <s v="TOKO BERKAT USAHA"/>
    <s v="GULA"/>
    <n v="7450"/>
    <n v="89400000"/>
  </r>
  <r>
    <d v="2020-06-10T00:00:00"/>
    <s v="TOKO APO"/>
    <s v="GULA"/>
    <n v="10000"/>
    <n v="120000000"/>
  </r>
  <r>
    <d v="2020-06-10T00:00:00"/>
    <s v="TOKO YOGI"/>
    <s v="GULA"/>
    <n v="1050"/>
    <n v="12600000"/>
  </r>
  <r>
    <d v="2020-06-10T00:00:00"/>
    <s v="TOKO YOGI"/>
    <s v="MIGOR"/>
    <n v="132"/>
    <n v="1630200"/>
  </r>
  <r>
    <d v="2020-06-10T00:00:00"/>
    <s v="TOKO YOGI"/>
    <s v="TEPUNG"/>
    <n v="160"/>
    <n v="1280000"/>
  </r>
  <r>
    <d v="2020-06-10T00:00:00"/>
    <s v="TOKO AQIL"/>
    <s v="GULA"/>
    <n v="6900"/>
    <n v="82800000"/>
  </r>
  <r>
    <d v="2020-06-10T00:00:00"/>
    <s v="TOKO DEB"/>
    <s v="GULA"/>
    <n v="6500"/>
    <n v="78000000"/>
  </r>
  <r>
    <d v="2020-06-10T00:00:00"/>
    <s v="TOKO DIDIK PRIOJADMIKO"/>
    <s v="BERAS"/>
    <n v="4000"/>
    <n v="42000000"/>
  </r>
  <r>
    <d v="2020-06-10T00:00:00"/>
    <s v="TOKO SUKARDI"/>
    <s v="BERAS"/>
    <n v="5000"/>
    <n v="52500000"/>
  </r>
  <r>
    <d v="2020-06-10T00:00:00"/>
    <s v="TOKO RUDY"/>
    <s v="BERAS"/>
    <n v="5000"/>
    <n v="52500000"/>
  </r>
  <r>
    <d v="2020-06-10T00:00:00"/>
    <s v="TOKO ABANG HERIYANSYAH"/>
    <s v="BERAS"/>
    <n v="3000"/>
    <n v="31500000"/>
  </r>
  <r>
    <d v="2020-06-10T00:00:00"/>
    <s v="TOKO APRIYANTO"/>
    <s v="BERAS"/>
    <n v="3010"/>
    <n v="31605000"/>
  </r>
  <r>
    <d v="2020-06-10T00:00:00"/>
    <s v="TOKO AHMAD PUTRA"/>
    <s v="BERAS"/>
    <n v="2000"/>
    <n v="21000000"/>
  </r>
  <r>
    <d v="2020-06-19T00:00:00"/>
    <s v="TOKO RIZKI SAKYAH"/>
    <s v="BERAS"/>
    <n v="1500"/>
    <n v="15300000"/>
  </r>
  <r>
    <d v="2020-06-19T00:00:00"/>
    <s v="TOKO RIZKI SAKYAH"/>
    <s v="BERAS"/>
    <n v="1150"/>
    <n v="11296450"/>
  </r>
  <r>
    <d v="2020-06-19T00:00:00"/>
    <s v="TOKO RIZKI SAKYAH"/>
    <s v="TEPUNG"/>
    <n v="40"/>
    <n v="320000"/>
  </r>
  <r>
    <d v="2020-06-19T00:00:00"/>
    <s v="SAHABAT ANDA"/>
    <s v="BERAS"/>
    <n v="1300"/>
    <n v="13260000"/>
  </r>
  <r>
    <d v="2020-06-19T00:00:00"/>
    <s v="SAHABAT ANDA"/>
    <s v="BERAS"/>
    <n v="1100"/>
    <n v="10805300"/>
  </r>
  <r>
    <d v="2020-06-19T00:00:00"/>
    <s v="SAHABAT ANDA"/>
    <s v="TEPUNG"/>
    <n v="80"/>
    <n v="640000"/>
  </r>
  <r>
    <d v="2020-06-19T00:00:00"/>
    <s v="TOKO DARKUM KOPERASI DISPERINDAG"/>
    <s v="BERAS"/>
    <n v="1230"/>
    <n v="12546000"/>
  </r>
  <r>
    <d v="2020-06-19T00:00:00"/>
    <s v="TOKO DARKUM KOPERASI DISPERINDAG"/>
    <s v="BERAS"/>
    <n v="1000"/>
    <n v="9823000"/>
  </r>
  <r>
    <d v="2020-06-19T00:00:00"/>
    <s v="TOKO DARKUM KOPERASI DISPERINDAG"/>
    <s v="TEPUNG"/>
    <n v="100"/>
    <n v="800000"/>
  </r>
  <r>
    <d v="2020-06-19T00:00:00"/>
    <s v="TOKO TOPIN"/>
    <s v="BERAS"/>
    <n v="1100"/>
    <n v="11220000"/>
  </r>
  <r>
    <d v="2020-06-19T00:00:00"/>
    <s v="TOKO TOPIN"/>
    <s v="BERAS"/>
    <n v="950"/>
    <n v="9331850"/>
  </r>
  <r>
    <d v="2020-06-19T00:00:00"/>
    <s v="TOKO IRVA"/>
    <s v="BERAS"/>
    <n v="950"/>
    <n v="9690000"/>
  </r>
  <r>
    <d v="2020-06-19T00:00:00"/>
    <s v="TOKO IRVA"/>
    <s v="BERAS"/>
    <n v="800"/>
    <n v="7858400"/>
  </r>
  <r>
    <d v="2020-06-19T00:00:00"/>
    <s v="TOKO HERUNIAWATI"/>
    <s v="BERAS"/>
    <n v="1300"/>
    <n v="13260000"/>
  </r>
  <r>
    <d v="2020-06-19T00:00:00"/>
    <s v="TOKO HERI HARYANTO"/>
    <s v="BERAS"/>
    <n v="1000"/>
    <n v="10500000"/>
  </r>
  <r>
    <d v="2020-06-19T00:00:00"/>
    <s v="TOKO SIMON SUMARDI"/>
    <s v="BERAS"/>
    <n v="1000"/>
    <n v="10500000"/>
  </r>
  <r>
    <d v="2020-06-19T00:00:00"/>
    <s v="TOKO DAVIS SUKA"/>
    <s v="BERAS"/>
    <n v="1500"/>
    <n v="15750000"/>
  </r>
  <r>
    <d v="2020-06-19T00:00:00"/>
    <s v="TOKO DIANA RISTA"/>
    <s v="BERAS"/>
    <n v="4000"/>
    <n v="42000000"/>
  </r>
  <r>
    <d v="2020-06-19T00:00:00"/>
    <s v="TOKO ABANG HERIYANSYAH"/>
    <s v="BERAS"/>
    <n v="2000"/>
    <n v="21000000"/>
  </r>
  <r>
    <d v="2020-06-19T00:00:00"/>
    <s v="TOKO AMRAN"/>
    <s v="BERAS"/>
    <n v="500"/>
    <n v="5250000"/>
  </r>
  <r>
    <d v="2020-06-19T00:00:00"/>
    <s v="TOKO ASEP SAFRUDIN"/>
    <s v="BERAS"/>
    <n v="500"/>
    <n v="5250000"/>
  </r>
  <r>
    <d v="2020-06-19T00:00:00"/>
    <s v="TOKO DWIANA MARYATI"/>
    <s v="BERAS"/>
    <n v="1100"/>
    <n v="11550000"/>
  </r>
  <r>
    <d v="2020-06-19T00:00:00"/>
    <s v="TOKO SOFIAN"/>
    <s v="BERAS"/>
    <n v="3000"/>
    <n v="31500000"/>
  </r>
  <r>
    <d v="2020-06-19T00:00:00"/>
    <s v="TOKO PESSY MIAR"/>
    <s v="BERAS"/>
    <n v="4000"/>
    <n v="42000000"/>
  </r>
  <r>
    <d v="2020-06-19T00:00:00"/>
    <s v="TOKO SRI MASMIDAH"/>
    <s v="BERAS"/>
    <n v="5000"/>
    <n v="52500000"/>
  </r>
  <r>
    <d v="2020-06-19T00:00:00"/>
    <s v="TOKO ISNANI SITI RAFIAH"/>
    <s v="BERAS"/>
    <n v="1000"/>
    <n v="10500000"/>
  </r>
  <r>
    <d v="2020-06-19T00:00:00"/>
    <s v="TOKO ANDREAS INDAH"/>
    <s v="BERAS"/>
    <n v="5000"/>
    <n v="52500000"/>
  </r>
  <r>
    <d v="2020-06-19T00:00:00"/>
    <s v="TOKO DEWI AFRITA"/>
    <s v="BERAS"/>
    <n v="5000"/>
    <n v="52500000"/>
  </r>
  <r>
    <d v="2020-06-19T00:00:00"/>
    <s v="TOKO FEBRIANTI INDAH LESTARI"/>
    <s v="BERAS"/>
    <n v="2000"/>
    <n v="21000000"/>
  </r>
  <r>
    <d v="2020-06-19T00:00:00"/>
    <s v="TOKO KHET MEN"/>
    <s v="BERAS"/>
    <n v="2500"/>
    <n v="26250000"/>
  </r>
  <r>
    <d v="2020-06-19T00:00:00"/>
    <s v="TOKO YENNI SUSILAWATI"/>
    <s v="BERAS"/>
    <n v="1000"/>
    <n v="10500000"/>
  </r>
  <r>
    <d v="2020-06-19T00:00:00"/>
    <s v="TOKO SARDIYANTO"/>
    <s v="BERAS"/>
    <n v="1000"/>
    <n v="10500000"/>
  </r>
  <r>
    <d v="2020-06-19T00:00:00"/>
    <s v="TOKO GATOT SUBROTO"/>
    <s v="BERAS"/>
    <n v="500"/>
    <n v="5250000"/>
  </r>
  <r>
    <d v="2020-06-19T00:00:00"/>
    <s v="TOKO KARDI"/>
    <s v="BERAS"/>
    <n v="1500"/>
    <n v="15750000"/>
  </r>
  <r>
    <d v="2020-06-22T00:00:00"/>
    <s v="TOKO SYAMSUDIN (INTAN MART)"/>
    <s v="GULA"/>
    <n v="4000"/>
    <n v="47200000"/>
  </r>
  <r>
    <d v="2020-06-22T00:00:00"/>
    <s v="TOKO SUPARNO (SMS)"/>
    <s v="GULA"/>
    <n v="5000"/>
    <n v="59000000"/>
  </r>
  <r>
    <d v="2020-06-22T00:00:00"/>
    <s v="TOKO ALIKA"/>
    <s v="GULA"/>
    <n v="100"/>
    <n v="1180000"/>
  </r>
  <r>
    <d v="2020-06-22T00:00:00"/>
    <s v="TOKO M. DJAFARI (AFAR 99)"/>
    <s v="GULA"/>
    <n v="3000"/>
    <n v="35400000"/>
  </r>
  <r>
    <d v="2020-06-22T00:00:00"/>
    <s v="TOKO SIGID PAMBUDI"/>
    <s v="GULA"/>
    <n v="600"/>
    <n v="7080000"/>
  </r>
  <r>
    <d v="2020-06-22T00:00:00"/>
    <s v="TOKO AQIL"/>
    <s v="GULA"/>
    <n v="100"/>
    <n v="1180000"/>
  </r>
  <r>
    <d v="2020-06-23T00:00:00"/>
    <s v="HOLIDAY MART"/>
    <s v="GULA"/>
    <n v="2500"/>
    <n v="29500000"/>
  </r>
  <r>
    <d v="2020-06-23T00:00:00"/>
    <s v="TOKO ABIZAR"/>
    <s v="GULA"/>
    <n v="500"/>
    <n v="5900000"/>
  </r>
  <r>
    <d v="2020-06-23T00:00:00"/>
    <s v="TOKO ALIKA"/>
    <s v="BERAS"/>
    <n v="450"/>
    <n v="4590000"/>
  </r>
  <r>
    <d v="2020-06-23T00:00:00"/>
    <s v="TOKO ALIKA"/>
    <s v="BERAS"/>
    <n v="50"/>
    <n v="491150"/>
  </r>
  <r>
    <d v="2020-06-23T00:00:00"/>
    <s v="YAYASAN KESEJAHTERAAN PEGAWAI (YKP) BNI"/>
    <s v="BERAS"/>
    <n v="190"/>
    <n v="2280000"/>
  </r>
  <r>
    <d v="2020-06-23T00:00:00"/>
    <s v="YAYASAN KESEJAHTERAAN PEGAWAI (YKP) BNI"/>
    <s v="BERAS"/>
    <n v="76"/>
    <n v="1748000"/>
  </r>
  <r>
    <d v="2020-06-24T00:00:00"/>
    <s v="PT. BANK RAKYAT INDONESIA (PERSERO) TBK."/>
    <s v="BERAS"/>
    <n v="300"/>
    <n v="3600000"/>
  </r>
  <r>
    <d v="2020-06-24T00:00:00"/>
    <s v="PT. BANK RAKYAT INDONESIA (PERSERO) TBK."/>
    <s v="BERAS"/>
    <n v="60"/>
    <n v="1380000"/>
  </r>
  <r>
    <d v="2020-06-24T00:00:00"/>
    <s v="TOKO M. DJAFARI (AFAR 99)"/>
    <s v="GULA"/>
    <n v="1150"/>
    <n v="13570000"/>
  </r>
  <r>
    <d v="2020-06-25T00:00:00"/>
    <s v="PT. BANK RAKYAT INDONESIA (PERSERO) TBK."/>
    <s v="BERAS"/>
    <n v="675"/>
    <n v="8100000"/>
  </r>
  <r>
    <d v="2020-06-25T00:00:00"/>
    <s v="PT. BANK RAKYAT INDONESIA (PERSERO) TBK."/>
    <s v="BERAS"/>
    <n v="135"/>
    <n v="3105000"/>
  </r>
  <r>
    <d v="2020-06-26T00:00:00"/>
    <s v="TOKO DARKUM KOPERASI DISPERINDAG"/>
    <s v="GULA"/>
    <n v="2000"/>
    <n v="23600000"/>
  </r>
  <r>
    <d v="2020-06-26T00:00:00"/>
    <s v="TOKO SYUHAINI"/>
    <s v="GULA"/>
    <n v="300"/>
    <n v="3540000"/>
  </r>
  <r>
    <d v="2020-06-26T00:00:00"/>
    <s v="TOKO BU YULI"/>
    <s v="BERAS"/>
    <n v="570"/>
    <n v="5814000"/>
  </r>
  <r>
    <d v="2020-06-29T00:00:00"/>
    <s v="TOKO ALEXANDER Y."/>
    <s v="BERAS"/>
    <n v="1000"/>
    <n v="10500000"/>
  </r>
  <r>
    <d v="2020-06-29T00:00:00"/>
    <s v="TOKO ARI YANTO"/>
    <s v="BERAS"/>
    <n v="4000"/>
    <n v="42000000"/>
  </r>
  <r>
    <d v="2020-06-29T00:00:00"/>
    <s v="TOKO AGUSTINUS"/>
    <s v="BERAS"/>
    <n v="5000"/>
    <n v="52500000"/>
  </r>
  <r>
    <d v="2020-06-29T00:00:00"/>
    <s v="TOKO HENI LAY"/>
    <s v="BERAS"/>
    <n v="1000"/>
    <n v="10500000"/>
  </r>
  <r>
    <d v="2020-06-29T00:00:00"/>
    <s v="TOKO SRI MASMIDAH"/>
    <s v="BERAS"/>
    <n v="5000"/>
    <n v="52500000"/>
  </r>
  <r>
    <d v="2020-06-29T00:00:00"/>
    <s v="TOKO SIGID PAMBUDI"/>
    <s v="BERAS"/>
    <n v="1000"/>
    <n v="10500000"/>
  </r>
  <r>
    <d v="2020-06-29T00:00:00"/>
    <s v="TOKO URAI INA KURNIA"/>
    <s v="BERAS"/>
    <n v="2000"/>
    <n v="21000000"/>
  </r>
  <r>
    <d v="2020-06-29T00:00:00"/>
    <s v="TOKO JESAYA GINTING"/>
    <s v="BERAS"/>
    <n v="2500"/>
    <n v="26250000"/>
  </r>
  <r>
    <d v="2020-06-29T00:00:00"/>
    <s v="TOKO KIAN KIONG"/>
    <s v="BERAS"/>
    <n v="1000"/>
    <n v="10500000"/>
  </r>
  <r>
    <d v="2020-07-01T00:00:00"/>
    <s v="TOKO ARDO"/>
    <s v="BERAS"/>
    <n v="380"/>
    <n v="3876000"/>
  </r>
  <r>
    <d v="2020-07-01T00:00:00"/>
    <s v="TOKO ARDO"/>
    <s v="GULA"/>
    <n v="600"/>
    <n v="7080000"/>
  </r>
  <r>
    <d v="2020-07-06T00:00:00"/>
    <s v="TOKO BERKAH DUA PUTRA"/>
    <s v="BERAS"/>
    <n v="105"/>
    <n v="1102500"/>
  </r>
  <r>
    <d v="2020-07-06T00:00:00"/>
    <s v="TOKO BERKAH DUA PUTRA"/>
    <s v="BERAS"/>
    <n v="750"/>
    <n v="7650000"/>
  </r>
  <r>
    <d v="2020-07-06T00:00:00"/>
    <s v="TOKO BERKAH DUA PUTRA"/>
    <s v="BERAS"/>
    <n v="300"/>
    <n v="2946900"/>
  </r>
  <r>
    <d v="2020-07-06T00:00:00"/>
    <s v="TOKO BERKAH DUA PUTRA"/>
    <s v="GULA"/>
    <n v="50"/>
    <n v="590000"/>
  </r>
  <r>
    <d v="2020-07-07T00:00:00"/>
    <s v="TOKO KHET MEN"/>
    <s v="BERAS"/>
    <n v="1000"/>
    <n v="10500000"/>
  </r>
  <r>
    <d v="2020-07-07T00:00:00"/>
    <s v="TOKO JESAYA GINTING"/>
    <s v="BERAS"/>
    <n v="2000"/>
    <n v="21000000"/>
  </r>
  <r>
    <d v="2020-07-07T00:00:00"/>
    <s v="TOKO GATOT SUBROTO"/>
    <s v="BERAS"/>
    <n v="500"/>
    <n v="5250000"/>
  </r>
  <r>
    <d v="2020-07-07T00:00:00"/>
    <s v="TOKO ENDANG RASMINI"/>
    <s v="BERAS"/>
    <n v="1000"/>
    <n v="10500000"/>
  </r>
  <r>
    <d v="2020-07-07T00:00:00"/>
    <s v="TOKO BUNAWI"/>
    <s v="BERAS"/>
    <n v="1200"/>
    <n v="12600000"/>
  </r>
  <r>
    <d v="2020-07-07T00:00:00"/>
    <s v="TOKO ARI YANTO"/>
    <s v="BERAS"/>
    <n v="3000"/>
    <n v="31500000"/>
  </r>
  <r>
    <d v="2020-07-07T00:00:00"/>
    <s v="TOKO EKO BUDI WINASIS"/>
    <s v="BERAS"/>
    <n v="380"/>
    <n v="3990000"/>
  </r>
  <r>
    <d v="2020-07-08T00:00:00"/>
    <s v="TOKO SYUHAINI"/>
    <s v="BERAS"/>
    <n v="470"/>
    <n v="4794000"/>
  </r>
  <r>
    <d v="2020-07-08T00:00:00"/>
    <s v="TOKO SYUHAINI"/>
    <s v="GULA"/>
    <n v="350"/>
    <n v="4130000"/>
  </r>
  <r>
    <d v="2020-07-10T00:00:00"/>
    <s v="TOKO MAJU TERUS"/>
    <s v="GULA"/>
    <n v="1900"/>
    <n v="22420000"/>
  </r>
  <r>
    <d v="2020-07-13T00:00:00"/>
    <s v="TOKO BUNGUR"/>
    <s v="BERAS"/>
    <n v="100"/>
    <n v="1050000"/>
  </r>
  <r>
    <d v="2020-07-13T00:00:00"/>
    <s v="TOKO BUNGUR"/>
    <s v="BERAS"/>
    <n v="150"/>
    <n v="1473450"/>
  </r>
  <r>
    <d v="2020-07-13T00:00:00"/>
    <s v="TOKO BUNGUR"/>
    <s v="BERAS"/>
    <n v="29"/>
    <n v="667000"/>
  </r>
  <r>
    <d v="2020-07-13T00:00:00"/>
    <s v="TOKO BUNGUR"/>
    <s v="GULA"/>
    <n v="50"/>
    <n v="590000"/>
  </r>
  <r>
    <d v="2020-07-13T00:00:00"/>
    <s v="TOKO PESSY MIAR"/>
    <s v="BERAS"/>
    <n v="4000"/>
    <n v="42000000"/>
  </r>
  <r>
    <d v="2020-07-13T00:00:00"/>
    <s v="TOKO ASUN"/>
    <s v="BERAS"/>
    <n v="1500"/>
    <n v="15750000"/>
  </r>
  <r>
    <d v="2020-07-13T00:00:00"/>
    <s v="TOKO SILVIANA"/>
    <s v="BERAS"/>
    <n v="2000"/>
    <n v="21000000"/>
  </r>
  <r>
    <d v="2020-07-13T00:00:00"/>
    <s v="TOKO JUANTI"/>
    <s v="BERAS"/>
    <n v="2000"/>
    <n v="21000000"/>
  </r>
  <r>
    <d v="2020-07-13T00:00:00"/>
    <s v="TOKO IDAWATI"/>
    <s v="BERAS"/>
    <n v="200"/>
    <n v="2100000"/>
  </r>
  <r>
    <d v="2020-07-13T00:00:00"/>
    <s v="TOKO MIKA ERNAWATI"/>
    <s v="BERAS"/>
    <n v="350"/>
    <n v="3675000"/>
  </r>
  <r>
    <d v="2020-07-13T00:00:00"/>
    <s v="TOKO HERU SUSANTO"/>
    <s v="BERAS"/>
    <n v="6000"/>
    <n v="63000000"/>
  </r>
  <r>
    <d v="2020-07-13T00:00:00"/>
    <s v="TOKO ALFONSO"/>
    <s v="BERAS"/>
    <n v="5000"/>
    <n v="52500000"/>
  </r>
  <r>
    <d v="2020-07-13T00:00:00"/>
    <s v="TOKO IGNASIUS SUNARNO"/>
    <s v="BERAS"/>
    <n v="5000"/>
    <n v="52500000"/>
  </r>
  <r>
    <d v="2020-07-13T00:00:00"/>
    <s v="TOKO FEBRIANTI INDAH LESTARI"/>
    <s v="BERAS"/>
    <n v="1000"/>
    <n v="10500000"/>
  </r>
  <r>
    <d v="2020-07-13T00:00:00"/>
    <s v="TOKO BUNAWI"/>
    <s v="BERAS"/>
    <n v="460"/>
    <n v="4830000"/>
  </r>
  <r>
    <d v="2020-07-13T00:00:00"/>
    <s v="TOKO AIDI K."/>
    <s v="BERAS"/>
    <n v="50000"/>
    <n v="510000000"/>
  </r>
  <r>
    <d v="2020-07-14T00:00:00"/>
    <s v="TOKO KHET MEN"/>
    <s v="BERAS"/>
    <n v="3000"/>
    <n v="31500000"/>
  </r>
  <r>
    <d v="2020-07-14T00:00:00"/>
    <s v="TOKO ACAP"/>
    <s v="BERAS"/>
    <n v="1500"/>
    <n v="15750000"/>
  </r>
  <r>
    <d v="2020-07-14T00:00:00"/>
    <s v="TOKO ENDANG HARTATI"/>
    <s v="BERAS"/>
    <n v="1500"/>
    <n v="15750000"/>
  </r>
  <r>
    <d v="2020-07-14T00:00:00"/>
    <s v="TOKO BUNAWI"/>
    <s v="BERAS"/>
    <n v="1500"/>
    <n v="15750000"/>
  </r>
  <r>
    <d v="2020-07-14T00:00:00"/>
    <s v="TOKO SUKARDI"/>
    <s v="BERAS"/>
    <n v="1800"/>
    <n v="18900000"/>
  </r>
  <r>
    <d v="2020-07-17T00:00:00"/>
    <s v="TOKO KIAN KIONG"/>
    <s v="BERAS"/>
    <n v="1000"/>
    <n v="10485000"/>
  </r>
  <r>
    <d v="2020-07-17T00:00:00"/>
    <s v="TOKO PRAYOGA"/>
    <s v="BERAS"/>
    <n v="2000"/>
    <n v="20970000"/>
  </r>
  <r>
    <d v="2020-07-17T00:00:00"/>
    <s v="TOKO ISNANI SITI RAFIAH"/>
    <s v="BERAS"/>
    <n v="1000"/>
    <n v="10485000"/>
  </r>
  <r>
    <d v="2020-07-17T00:00:00"/>
    <s v="TOKO SIGID PAMBUDI"/>
    <s v="BERAS"/>
    <n v="1500"/>
    <n v="15727500"/>
  </r>
  <r>
    <d v="2020-07-17T00:00:00"/>
    <s v="TOKO SARDIYANTO"/>
    <s v="BERAS"/>
    <n v="1500"/>
    <n v="15727500"/>
  </r>
  <r>
    <d v="2020-07-17T00:00:00"/>
    <s v="TOKO ENDANG HARTATI"/>
    <s v="BERAS"/>
    <n v="1000"/>
    <n v="10485000"/>
  </r>
  <r>
    <d v="2020-07-17T00:00:00"/>
    <s v="TOKO ANDREAS INDAH"/>
    <s v="BERAS"/>
    <n v="7000"/>
    <n v="73395000"/>
  </r>
  <r>
    <d v="2020-07-17T00:00:00"/>
    <s v="TOKO BUNAWI"/>
    <s v="BERAS"/>
    <n v="100"/>
    <n v="1048500"/>
  </r>
  <r>
    <d v="2020-07-17T00:00:00"/>
    <s v="TOKO KARDI"/>
    <s v="BERAS"/>
    <n v="1500"/>
    <n v="15727500"/>
  </r>
  <r>
    <d v="2020-07-17T00:00:00"/>
    <s v="TOKO HENI LAY"/>
    <s v="BERAS"/>
    <n v="1000"/>
    <n v="10485000"/>
  </r>
  <r>
    <d v="2020-07-17T00:00:00"/>
    <s v="TOKO ALEXANDER Y."/>
    <s v="BERAS"/>
    <n v="1000"/>
    <n v="10485000"/>
  </r>
  <r>
    <d v="2020-07-17T00:00:00"/>
    <s v="TOKO HERI HARYANTO"/>
    <s v="BERAS"/>
    <n v="1000"/>
    <n v="10485000"/>
  </r>
  <r>
    <d v="2020-07-17T00:00:00"/>
    <s v="TOKO FATMAWATI"/>
    <s v="BERAS"/>
    <n v="1500"/>
    <n v="15727500"/>
  </r>
  <r>
    <d v="2020-07-17T00:00:00"/>
    <s v="TOKO HERMANSYAH"/>
    <s v="BERAS"/>
    <n v="300"/>
    <n v="3145500"/>
  </r>
  <r>
    <d v="2020-07-17T00:00:00"/>
    <s v="TOKO SOFIAN"/>
    <s v="BERAS"/>
    <n v="2000"/>
    <n v="20970000"/>
  </r>
  <r>
    <d v="2020-07-17T00:00:00"/>
    <s v="TOKO NURDIAH"/>
    <s v="BERAS"/>
    <n v="1500"/>
    <n v="15727500"/>
  </r>
  <r>
    <d v="2020-07-17T00:00:00"/>
    <s v="TOKO MAJU TERUS"/>
    <s v="BERAS"/>
    <n v="1550"/>
    <n v="15538750"/>
  </r>
  <r>
    <d v="2020-07-20T00:00:00"/>
    <s v="TOKO YENNI SUSILAWATI"/>
    <s v="BERAS"/>
    <n v="1500"/>
    <n v="15727500"/>
  </r>
  <r>
    <d v="2020-07-20T00:00:00"/>
    <s v="TOKO PANISITAWATI HERMINA PAULA"/>
    <s v="BERAS"/>
    <n v="3500"/>
    <n v="36697500"/>
  </r>
  <r>
    <d v="2020-07-20T00:00:00"/>
    <s v="TOKO DEWI AFRITA"/>
    <s v="BERAS"/>
    <n v="5000"/>
    <n v="52425000"/>
  </r>
  <r>
    <d v="2020-07-20T00:00:00"/>
    <s v="TOKO ENDANG HARTATI"/>
    <s v="BERAS"/>
    <n v="2000"/>
    <n v="20970000"/>
  </r>
  <r>
    <d v="2020-07-20T00:00:00"/>
    <s v="TOKO JESAYA GINTING"/>
    <s v="BERAS"/>
    <n v="2500"/>
    <n v="26212500"/>
  </r>
  <r>
    <d v="2020-07-20T00:00:00"/>
    <s v="TOKO BUNAWI"/>
    <s v="BERAS"/>
    <n v="760"/>
    <n v="7968600"/>
  </r>
  <r>
    <d v="2020-07-20T00:00:00"/>
    <s v="TOKO SUMARSONO"/>
    <s v="BERAS"/>
    <n v="5000"/>
    <n v="52425000"/>
  </r>
  <r>
    <d v="2020-07-21T00:00:00"/>
    <s v="TOKO ARDO"/>
    <s v="BERAS"/>
    <n v="1400"/>
    <n v="14035000"/>
  </r>
  <r>
    <d v="2020-07-21T00:00:00"/>
    <s v="TOKO ARDO"/>
    <s v="GULA"/>
    <n v="450"/>
    <n v="5310000"/>
  </r>
  <r>
    <d v="2020-07-21T00:00:00"/>
    <s v="TOKO BUNAWI"/>
    <s v="BERAS"/>
    <n v="180"/>
    <n v="1887300"/>
  </r>
  <r>
    <d v="2020-07-21T00:00:00"/>
    <s v="TOKO ARI YANTO"/>
    <s v="BERAS"/>
    <n v="5000"/>
    <n v="52425000"/>
  </r>
  <r>
    <d v="2020-07-21T00:00:00"/>
    <s v="TOKO ALEXANDER Y."/>
    <s v="BERAS"/>
    <n v="1000"/>
    <n v="10485000"/>
  </r>
  <r>
    <d v="2020-07-21T00:00:00"/>
    <s v="TOKO APRIYANTO"/>
    <s v="BERAS"/>
    <n v="2500"/>
    <n v="26212500"/>
  </r>
  <r>
    <d v="2020-07-21T00:00:00"/>
    <s v="TOKO HENDRA. S"/>
    <s v="BERAS"/>
    <n v="1000"/>
    <n v="10485000"/>
  </r>
  <r>
    <d v="2020-07-21T00:00:00"/>
    <s v="TOKO DAVIS SUKA"/>
    <s v="BERAS"/>
    <n v="1500"/>
    <n v="15727500"/>
  </r>
  <r>
    <d v="2020-07-21T00:00:00"/>
    <s v="TOKO DWIANA MARYATI"/>
    <s v="BERAS"/>
    <n v="700"/>
    <n v="7339500"/>
  </r>
  <r>
    <d v="2020-07-21T00:00:00"/>
    <s v="TOKO SUNDARIANTO"/>
    <s v="BERAS"/>
    <n v="500"/>
    <n v="5242500"/>
  </r>
  <r>
    <d v="2020-07-21T00:00:00"/>
    <s v="TOKO AMRAN"/>
    <s v="BERAS"/>
    <n v="500"/>
    <n v="5242500"/>
  </r>
  <r>
    <d v="2020-07-21T00:00:00"/>
    <s v="YAYASAN KESEJAHTERAAN PEGAWAI (YKP) BNI"/>
    <s v="BERAS"/>
    <n v="180"/>
    <n v="2160000"/>
  </r>
  <r>
    <d v="2020-07-21T00:00:00"/>
    <s v="YAYASAN KESEJAHTERAAN PEGAWAI (YKP) BNI"/>
    <s v="BERAS"/>
    <n v="72"/>
    <n v="1656000"/>
  </r>
  <r>
    <d v="2020-07-28T00:00:00"/>
    <s v="TOKO BERKAH DUA PUTRA"/>
    <s v="TEPUNG"/>
    <n v="200"/>
    <n v="1600000"/>
  </r>
  <r>
    <d v="2020-07-28T00:00:00"/>
    <s v="TOKO ABANG HERIYANSYAH"/>
    <s v="BERAS"/>
    <n v="4500"/>
    <n v="47182500"/>
  </r>
  <r>
    <d v="2020-07-28T00:00:00"/>
    <s v="TOKO AGUSTINUS"/>
    <s v="BERAS"/>
    <n v="6000"/>
    <n v="62910000"/>
  </r>
  <r>
    <d v="2020-08-04T00:00:00"/>
    <s v="TOKO APO"/>
    <s v="TEPUNG"/>
    <n v="700"/>
    <n v="5600000"/>
  </r>
  <r>
    <d v="2020-08-11T00:00:00"/>
    <s v="TOKO BU YULI"/>
    <s v="BERAS"/>
    <n v="150"/>
    <n v="1571250"/>
  </r>
  <r>
    <d v="2020-08-11T00:00:00"/>
    <s v="TOKO BU YULI"/>
    <s v="BERAS"/>
    <n v="1500"/>
    <n v="15285000"/>
  </r>
  <r>
    <d v="2020-08-11T00:00:00"/>
    <s v="TOKO SIDAK"/>
    <s v="BERAS"/>
    <n v="100"/>
    <n v="1047500"/>
  </r>
  <r>
    <d v="2020-08-11T00:00:00"/>
    <s v="TOKO SIDAK"/>
    <s v="BERAS"/>
    <n v="1200"/>
    <n v="12228000"/>
  </r>
  <r>
    <d v="2020-08-11T00:00:00"/>
    <s v="TOKO ABIZAR"/>
    <s v="BERAS"/>
    <n v="100"/>
    <n v="1047500"/>
  </r>
  <r>
    <d v="2020-08-11T00:00:00"/>
    <s v="TOKO ABIZAR"/>
    <s v="BERAS"/>
    <n v="1100"/>
    <n v="11209000"/>
  </r>
  <r>
    <d v="2020-08-11T00:00:00"/>
    <s v="TOKO BUNGUR"/>
    <s v="BERAS"/>
    <n v="100"/>
    <n v="1047500"/>
  </r>
  <r>
    <d v="2020-08-11T00:00:00"/>
    <s v="TOKO BUNGUR"/>
    <s v="BERAS"/>
    <n v="1020"/>
    <n v="10393800"/>
  </r>
  <r>
    <d v="2020-08-11T00:00:00"/>
    <s v="TOKO BUNGUR"/>
    <s v="BERAS"/>
    <n v="1100"/>
    <n v="10809700"/>
  </r>
  <r>
    <d v="2020-08-11T00:00:00"/>
    <s v="TOKO BUNGUR"/>
    <s v="GULA"/>
    <n v="250"/>
    <n v="2950000"/>
  </r>
  <r>
    <d v="2020-08-11T00:00:00"/>
    <s v="TOKO FAKHLI HARUDI"/>
    <s v="BERAS"/>
    <n v="17000"/>
    <n v="178245000"/>
  </r>
  <r>
    <d v="2020-08-11T00:00:00"/>
    <s v="TOKO IMIN"/>
    <s v="BERAS"/>
    <n v="1500"/>
    <n v="15727500"/>
  </r>
  <r>
    <d v="2020-08-11T00:00:00"/>
    <s v="TOKO SRI MASMIDAH"/>
    <s v="BERAS"/>
    <n v="9000"/>
    <n v="94365000"/>
  </r>
  <r>
    <d v="2020-08-11T00:00:00"/>
    <s v="TOKO PESSY MIAR"/>
    <s v="BERAS"/>
    <n v="12000"/>
    <n v="125820000"/>
  </r>
  <r>
    <d v="2020-08-11T00:00:00"/>
    <s v="TOKO LINA"/>
    <s v="BERAS"/>
    <n v="4000"/>
    <n v="41940000"/>
  </r>
  <r>
    <d v="2020-08-11T00:00:00"/>
    <s v="TOKO IIP KUSPOYO"/>
    <s v="BERAS"/>
    <n v="2000"/>
    <n v="20970000"/>
  </r>
  <r>
    <d v="2020-08-11T00:00:00"/>
    <s v="TOKO NURFADILAH"/>
    <s v="BERAS"/>
    <n v="2470"/>
    <n v="25897950"/>
  </r>
  <r>
    <d v="2020-08-11T00:00:00"/>
    <s v="TOKO ISNANI SITI RAFIAH"/>
    <s v="BERAS"/>
    <n v="2000"/>
    <n v="20970000"/>
  </r>
  <r>
    <d v="2020-08-11T00:00:00"/>
    <s v="TOKO ABANG HERIYANSYAH"/>
    <s v="BERAS"/>
    <n v="1500"/>
    <n v="15727500"/>
  </r>
  <r>
    <d v="2020-08-11T00:00:00"/>
    <s v="TOKO EKA SAPUTRA JAYA"/>
    <s v="BERAS"/>
    <n v="1800"/>
    <n v="18873000"/>
  </r>
  <r>
    <d v="2020-08-11T00:00:00"/>
    <s v="TOKO SUBIANTO"/>
    <s v="BERAS"/>
    <n v="1500"/>
    <n v="15727500"/>
  </r>
  <r>
    <d v="2020-08-11T00:00:00"/>
    <s v="TOKO MARDIUS"/>
    <s v="BERAS"/>
    <n v="1500"/>
    <n v="15727500"/>
  </r>
  <r>
    <d v="2020-08-11T00:00:00"/>
    <s v="TOKO DAVIS SUKA"/>
    <s v="BERAS"/>
    <n v="1500"/>
    <n v="15727500"/>
  </r>
  <r>
    <d v="2020-08-11T00:00:00"/>
    <s v="TOKO SILVIANA"/>
    <s v="BERAS"/>
    <n v="2000"/>
    <n v="20970000"/>
  </r>
  <r>
    <d v="2020-08-11T00:00:00"/>
    <s v="TOKO FLORENTINA"/>
    <s v="BERAS"/>
    <n v="1000"/>
    <n v="10485000"/>
  </r>
  <r>
    <d v="2020-08-11T00:00:00"/>
    <s v="TOKO FATMAWATI"/>
    <s v="BERAS"/>
    <n v="1500"/>
    <n v="15727500"/>
  </r>
  <r>
    <d v="2020-08-11T00:00:00"/>
    <s v="TOKO APRIYANTO"/>
    <s v="BERAS"/>
    <n v="2500"/>
    <n v="26212500"/>
  </r>
  <r>
    <d v="2020-08-11T00:00:00"/>
    <s v="TOKO SIMON SUMARDI"/>
    <s v="BERAS"/>
    <n v="1300"/>
    <n v="13630500"/>
  </r>
  <r>
    <d v="2020-08-11T00:00:00"/>
    <s v="TOKO ARI YANTO"/>
    <s v="BERAS"/>
    <n v="1800"/>
    <n v="18873000"/>
  </r>
  <r>
    <d v="2020-08-11T00:00:00"/>
    <s v="TOKO ALFONSO"/>
    <s v="BERAS"/>
    <n v="6000"/>
    <n v="62910000"/>
  </r>
  <r>
    <d v="2020-08-11T00:00:00"/>
    <s v="TOKO ANDREAS INDAH"/>
    <s v="BERAS"/>
    <n v="3130"/>
    <n v="32818050"/>
  </r>
  <r>
    <d v="2020-08-12T00:00:00"/>
    <s v="SAHABAT ANDA"/>
    <s v="BERAS"/>
    <n v="3"/>
    <n v="69000"/>
  </r>
  <r>
    <d v="2020-08-12T00:00:00"/>
    <s v="SAHABAT ANDA"/>
    <s v="GULA"/>
    <n v="200"/>
    <n v="2360000"/>
  </r>
  <r>
    <d v="2020-08-12T00:00:00"/>
    <s v="SAHABAT ANDA"/>
    <s v="TEPUNG"/>
    <n v="80"/>
    <n v="666080"/>
  </r>
  <r>
    <d v="2020-08-14T00:00:00"/>
    <s v="TOKO IGNASIUS SUNARNO"/>
    <s v="BERAS"/>
    <n v="12000"/>
    <n v="125820000"/>
  </r>
  <r>
    <d v="2020-08-14T00:00:00"/>
    <s v="TOKO KARDI"/>
    <s v="BERAS"/>
    <n v="2300"/>
    <n v="24115500"/>
  </r>
  <r>
    <d v="2020-08-14T00:00:00"/>
    <s v="TOKO BUNAWI"/>
    <s v="BERAS"/>
    <n v="3000"/>
    <n v="31455000"/>
  </r>
  <r>
    <d v="2020-08-14T00:00:00"/>
    <s v="TOKO YAKOB"/>
    <s v="BERAS"/>
    <n v="6000"/>
    <n v="62910000"/>
  </r>
  <r>
    <d v="2020-08-14T00:00:00"/>
    <s v="TOKO DEWI AFRITA"/>
    <s v="BERAS"/>
    <n v="5500"/>
    <n v="57667500"/>
  </r>
  <r>
    <d v="2020-08-14T00:00:00"/>
    <s v="TOKO HERU SUSANTO"/>
    <s v="BERAS"/>
    <n v="6000"/>
    <n v="62910000"/>
  </r>
  <r>
    <d v="2020-08-14T00:00:00"/>
    <s v="TOKO FEBRIANTI INDAH LESTARI"/>
    <s v="BERAS"/>
    <n v="1200"/>
    <n v="12582000"/>
  </r>
  <r>
    <d v="2020-08-14T00:00:00"/>
    <s v="YAYASAN KESEJAHTERAAN PEGAWAI (YKP) BNI"/>
    <s v="BERAS"/>
    <n v="185"/>
    <n v="2220000"/>
  </r>
  <r>
    <d v="2020-08-14T00:00:00"/>
    <s v="YAYASAN KESEJAHTERAAN PEGAWAI (YKP) BNI"/>
    <s v="BERAS"/>
    <n v="74"/>
    <n v="1702000"/>
  </r>
  <r>
    <d v="2020-08-19T00:00:00"/>
    <s v="TOKO RIZKI SAKYAH"/>
    <s v="BERAS"/>
    <n v="350"/>
    <n v="3666250"/>
  </r>
  <r>
    <d v="2020-08-19T00:00:00"/>
    <s v="TOKO RIZKI SAKYAH"/>
    <s v="BERAS"/>
    <n v="1000"/>
    <n v="9827000"/>
  </r>
  <r>
    <d v="2020-08-19T00:00:00"/>
    <s v="TOKO RIZKI SAKYAH"/>
    <s v="GULA"/>
    <n v="150"/>
    <n v="1770000"/>
  </r>
  <r>
    <d v="2020-08-24T00:00:00"/>
    <s v="TOKO SIDAK"/>
    <s v="BERAS"/>
    <n v="65"/>
    <n v="680875"/>
  </r>
  <r>
    <d v="2020-08-24T00:00:00"/>
    <s v="TOKO SIDAK"/>
    <s v="BERAS"/>
    <n v="1000"/>
    <n v="10190000"/>
  </r>
  <r>
    <d v="2020-08-24T00:00:00"/>
    <s v="TOKO SIDAK"/>
    <s v="TEPUNG"/>
    <n v="20"/>
    <n v="166520"/>
  </r>
  <r>
    <d v="2020-08-24T00:00:00"/>
    <s v="TOKO FEBRIANTI INDAH LESTARI"/>
    <s v="BERAS"/>
    <n v="1500"/>
    <n v="15727500"/>
  </r>
  <r>
    <d v="2020-08-24T00:00:00"/>
    <s v="TOKO KIAN KIONG"/>
    <s v="BERAS"/>
    <n v="1000"/>
    <n v="10485000"/>
  </r>
  <r>
    <d v="2020-08-24T00:00:00"/>
    <s v="TOKO SARDIYANTO"/>
    <s v="BERAS"/>
    <n v="2000"/>
    <n v="20970000"/>
  </r>
  <r>
    <d v="2020-08-24T00:00:00"/>
    <s v="TOKO DWI SUSILO"/>
    <s v="BERAS"/>
    <n v="2000"/>
    <n v="20970000"/>
  </r>
  <r>
    <d v="2020-08-24T00:00:00"/>
    <s v="TOKO ENDANG RASMINI"/>
    <s v="BERAS"/>
    <n v="1000"/>
    <n v="10485000"/>
  </r>
  <r>
    <d v="2020-08-24T00:00:00"/>
    <s v="TOKO URAI INA KURNIA"/>
    <s v="BERAS"/>
    <n v="2500"/>
    <n v="26212500"/>
  </r>
  <r>
    <d v="2020-08-26T00:00:00"/>
    <s v="TOKO DEWI AFRITA"/>
    <s v="BERAS"/>
    <n v="4000"/>
    <n v="41940000"/>
  </r>
  <r>
    <d v="2020-08-27T00:00:00"/>
    <s v="TOKO ANDREAS INDAH"/>
    <s v="BERAS"/>
    <n v="2570"/>
    <n v="26946450"/>
  </r>
  <r>
    <d v="2020-08-27T00:00:00"/>
    <s v="WARUNG NAK ZIHAN"/>
    <s v="BERAS"/>
    <n v="1000"/>
    <n v="10355000"/>
  </r>
  <r>
    <d v="2020-08-27T00:00:00"/>
    <s v="WARUNG NAK ZIHAN"/>
    <s v="BERAS"/>
    <n v="150"/>
    <n v="1474050"/>
  </r>
  <r>
    <d v="2020-08-27T00:00:00"/>
    <s v="WARUNG NAK ZIHAN"/>
    <s v="GULA"/>
    <n v="50"/>
    <n v="590000"/>
  </r>
  <r>
    <d v="2020-08-28T00:00:00"/>
    <s v="TOKO FEBRIANTI INDAH LESTARI"/>
    <s v="BERAS"/>
    <n v="1000"/>
    <n v="10485000"/>
  </r>
  <r>
    <d v="2020-08-28T00:00:00"/>
    <s v="TOKO BUNGUR"/>
    <s v="BERAS"/>
    <n v="160"/>
    <n v="1688000"/>
  </r>
  <r>
    <d v="2020-08-28T00:00:00"/>
    <s v="TOKO BUNGUR"/>
    <s v="BERAS"/>
    <n v="1150"/>
    <n v="11301050"/>
  </r>
  <r>
    <d v="2020-08-28T00:00:00"/>
    <s v="TOKO BUNGUR"/>
    <s v="GULA"/>
    <n v="50"/>
    <n v="590000"/>
  </r>
  <r>
    <d v="2020-08-31T00:00:00"/>
    <s v="TOKO DEWI AFRITA"/>
    <s v="BERAS"/>
    <n v="1500"/>
    <n v="15727500"/>
  </r>
  <r>
    <d v="2020-08-31T00:00:00"/>
    <s v="TOKO ABIZAR"/>
    <s v="BERAS"/>
    <n v="100"/>
    <n v="1019000"/>
  </r>
  <r>
    <d v="2020-08-31T00:00:00"/>
    <s v="TOKO ARDO"/>
    <s v="BERAS"/>
    <n v="310"/>
    <n v="3270500"/>
  </r>
  <r>
    <d v="2020-08-31T00:00:00"/>
    <s v="TOKO ARDO"/>
    <s v="GULA"/>
    <n v="150"/>
    <n v="1770000"/>
  </r>
  <r>
    <d v="2020-09-07T00:00:00"/>
    <s v="TOKO MAJU TERUS"/>
    <s v="GULA"/>
    <n v="300"/>
    <n v="3540000"/>
  </r>
  <r>
    <d v="2020-09-09T00:00:00"/>
    <s v="TOKO IRVA"/>
    <s v="BERAS"/>
    <n v="600"/>
    <n v="6330000"/>
  </r>
  <r>
    <d v="2020-09-09T00:00:00"/>
    <s v="TOKO BOB-I"/>
    <s v="BERAS"/>
    <n v="900"/>
    <n v="9122400"/>
  </r>
  <r>
    <d v="2020-09-09T00:00:00"/>
    <s v="TOKO ISNANI SITI RAFIAH"/>
    <s v="BERAS"/>
    <n v="2000"/>
    <n v="21590000"/>
  </r>
  <r>
    <d v="2020-09-09T00:00:00"/>
    <s v="TOKO ENDANG HARTATI"/>
    <s v="BERAS"/>
    <n v="2000"/>
    <n v="21590000"/>
  </r>
  <r>
    <d v="2020-09-09T00:00:00"/>
    <s v="TOKO URAI INA KURNIA"/>
    <s v="BERAS"/>
    <n v="2000"/>
    <n v="21590000"/>
  </r>
  <r>
    <d v="2020-09-09T00:00:00"/>
    <s v="TOKO KHET MEN"/>
    <s v="BERAS"/>
    <n v="1000"/>
    <n v="10795000"/>
  </r>
  <r>
    <d v="2020-09-10T00:00:00"/>
    <s v="WARUNG NAK ZIHAN"/>
    <s v="BERAS"/>
    <n v="750"/>
    <n v="8088750"/>
  </r>
  <r>
    <d v="2020-09-10T00:00:00"/>
    <s v="WARUNG NAK ZIHAN"/>
    <s v="BERAS"/>
    <n v="150"/>
    <n v="1582500"/>
  </r>
  <r>
    <d v="2020-09-14T00:00:00"/>
    <s v="TOKO BU YULI"/>
    <s v="BERAS"/>
    <n v="250"/>
    <n v="2637500"/>
  </r>
  <r>
    <d v="2020-09-14T00:00:00"/>
    <s v="TOKO BU YULI"/>
    <s v="BERAS"/>
    <n v="100"/>
    <n v="1013600"/>
  </r>
  <r>
    <d v="2020-09-14T00:00:00"/>
    <s v="TOKO IDAWATI"/>
    <s v="BERAS"/>
    <n v="210"/>
    <n v="2266950"/>
  </r>
  <r>
    <d v="2020-09-14T00:00:00"/>
    <s v="TOKO SILVIANA"/>
    <s v="BERAS"/>
    <n v="1500"/>
    <n v="16192500"/>
  </r>
  <r>
    <d v="2020-09-14T00:00:00"/>
    <s v="TOKO AGUSTINUS"/>
    <s v="BERAS"/>
    <n v="3000"/>
    <n v="32385000"/>
  </r>
  <r>
    <d v="2020-09-14T00:00:00"/>
    <s v="TOKO ASEP SAFRUDIN"/>
    <s v="BERAS"/>
    <n v="400"/>
    <n v="4318000"/>
  </r>
  <r>
    <d v="2020-09-14T00:00:00"/>
    <s v="TOKO SUNDARIANTO"/>
    <s v="BERAS"/>
    <n v="400"/>
    <n v="4318000"/>
  </r>
  <r>
    <d v="2020-09-14T00:00:00"/>
    <s v="TOKO IMIN"/>
    <s v="BERAS"/>
    <n v="4000"/>
    <n v="43180000"/>
  </r>
  <r>
    <d v="2020-09-14T00:00:00"/>
    <s v="TOKO JUANTI"/>
    <s v="BERAS"/>
    <n v="1500"/>
    <n v="16192500"/>
  </r>
  <r>
    <d v="2020-09-14T00:00:00"/>
    <s v="TOKO PRAYOGA"/>
    <s v="BERAS"/>
    <n v="2000"/>
    <n v="21590000"/>
  </r>
  <r>
    <d v="2020-09-14T00:00:00"/>
    <s v="TOKO YAKOB"/>
    <s v="BERAS"/>
    <n v="6000"/>
    <n v="64770000"/>
  </r>
  <r>
    <d v="2020-09-14T00:00:00"/>
    <s v="TOKO DEWI AFRITA"/>
    <s v="BERAS"/>
    <n v="5500"/>
    <n v="59372500"/>
  </r>
  <r>
    <d v="2020-09-14T00:00:00"/>
    <s v="TOKO SUKARDI"/>
    <s v="BERAS"/>
    <n v="1800"/>
    <n v="19431000"/>
  </r>
  <r>
    <d v="2020-09-14T00:00:00"/>
    <s v="TOKO DIDIK PRIOJADMIKO"/>
    <s v="BERAS"/>
    <n v="1500"/>
    <n v="16192500"/>
  </r>
  <r>
    <d v="2020-09-14T00:00:00"/>
    <s v="TOKO SITI CHOMSAH"/>
    <s v="BERAS"/>
    <n v="300"/>
    <n v="3238500"/>
  </r>
  <r>
    <d v="2020-09-14T00:00:00"/>
    <s v="TOKO BUNAWI"/>
    <s v="BERAS"/>
    <n v="2500"/>
    <n v="26987500"/>
  </r>
  <r>
    <d v="2020-09-15T00:00:00"/>
    <s v="TOKO ARI YANTO"/>
    <s v="BERAS"/>
    <n v="1800"/>
    <n v="19431000"/>
  </r>
  <r>
    <d v="2020-09-15T00:00:00"/>
    <s v="TOKO AMRAN"/>
    <s v="BERAS"/>
    <n v="250"/>
    <n v="2698750"/>
  </r>
  <r>
    <d v="2020-09-15T00:00:00"/>
    <s v="TOKO NURFADILAH"/>
    <s v="BERAS"/>
    <n v="1300"/>
    <n v="14033500"/>
  </r>
  <r>
    <d v="2020-09-15T00:00:00"/>
    <s v="TOKO ENDANG HARTATI"/>
    <s v="BERAS"/>
    <n v="2000"/>
    <n v="21590000"/>
  </r>
  <r>
    <d v="2020-09-16T00:00:00"/>
    <s v="TOKO ALEXANDER Y."/>
    <s v="BERAS"/>
    <n v="1500"/>
    <n v="16192500"/>
  </r>
  <r>
    <d v="2020-09-16T00:00:00"/>
    <s v="TOKO HERMANSYAH"/>
    <s v="BERAS"/>
    <n v="500"/>
    <n v="5397500"/>
  </r>
  <r>
    <d v="2020-09-16T00:00:00"/>
    <s v="TOKO ENDANG SUSILAWATI"/>
    <s v="BERAS"/>
    <n v="12000"/>
    <n v="129540000"/>
  </r>
  <r>
    <d v="2020-09-16T00:00:00"/>
    <s v="TOKO HERMANTO"/>
    <s v="BERAS"/>
    <n v="2500"/>
    <n v="26987500"/>
  </r>
  <r>
    <d v="2020-09-16T00:00:00"/>
    <s v="TOKO SARDIYANTO"/>
    <s v="BERAS"/>
    <n v="2000"/>
    <n v="21590000"/>
  </r>
  <r>
    <d v="2020-09-17T00:00:00"/>
    <s v="TOKO USAHA"/>
    <s v="BERAS"/>
    <n v="950"/>
    <n v="9951250"/>
  </r>
  <r>
    <d v="2020-09-17T00:00:00"/>
    <s v="TOKO USAHA"/>
    <s v="BERAS"/>
    <n v="150"/>
    <n v="1474050"/>
  </r>
  <r>
    <d v="2020-09-17T00:00:00"/>
    <s v="TOKO BU YULI"/>
    <s v="BERAS"/>
    <n v="2500"/>
    <n v="26375000"/>
  </r>
  <r>
    <d v="2020-09-21T00:00:00"/>
    <s v="TOKO ABIZAR"/>
    <s v="BERAS"/>
    <n v="850"/>
    <n v="8352950"/>
  </r>
  <r>
    <d v="2020-09-22T00:00:00"/>
    <s v="TOKO SUKARDI"/>
    <s v="BERAS"/>
    <n v="1800"/>
    <n v="18873000"/>
  </r>
  <r>
    <d v="2020-09-22T00:00:00"/>
    <s v="TOKO DWI SUSILO"/>
    <s v="BERAS"/>
    <n v="1600"/>
    <n v="16776000"/>
  </r>
  <r>
    <d v="2020-09-22T00:00:00"/>
    <s v="TOKO YENNI SUSILAWATI"/>
    <s v="BERAS"/>
    <n v="1500"/>
    <n v="15727500"/>
  </r>
  <r>
    <d v="2020-09-22T00:00:00"/>
    <s v="TOKO SIMON SUMARDI"/>
    <s v="BERAS"/>
    <n v="1200"/>
    <n v="12582000"/>
  </r>
  <r>
    <d v="2020-09-22T00:00:00"/>
    <s v="TOKO EKO BUDI WINASIS"/>
    <s v="BERAS"/>
    <n v="240"/>
    <n v="2516400"/>
  </r>
  <r>
    <d v="2020-09-22T00:00:00"/>
    <s v="YAYASAN KESEJAHTERAAN PEGAWAI (YKP) BNI"/>
    <s v="BERAS"/>
    <n v="190"/>
    <n v="2280000"/>
  </r>
  <r>
    <d v="2020-09-22T00:00:00"/>
    <s v="YAYASAN KESEJAHTERAAN PEGAWAI (YKP) BNI"/>
    <s v="BERAS"/>
    <n v="76"/>
    <n v="1748000"/>
  </r>
  <r>
    <d v="2020-09-23T00:00:00"/>
    <s v="TOKO DWIANA MARYATI"/>
    <s v="BERAS"/>
    <n v="800"/>
    <n v="8636000"/>
  </r>
  <r>
    <d v="2020-09-23T00:00:00"/>
    <s v="TOKO AHMAD PUTRA"/>
    <s v="BERAS"/>
    <n v="250"/>
    <n v="2698750"/>
  </r>
  <r>
    <d v="2020-09-23T00:00:00"/>
    <s v="TOKO APRIYANTO"/>
    <s v="BERAS"/>
    <n v="3000"/>
    <n v="32535000"/>
  </r>
  <r>
    <d v="2020-09-23T00:00:00"/>
    <s v="TOKO FATMAWATI"/>
    <s v="BERAS"/>
    <n v="1000"/>
    <n v="10845000"/>
  </r>
  <r>
    <d v="2020-09-23T00:00:00"/>
    <s v="TOKO NURDIAH"/>
    <s v="BERAS"/>
    <n v="1000"/>
    <n v="10845000"/>
  </r>
  <r>
    <d v="2020-09-23T00:00:00"/>
    <s v="TOKO SIMUS"/>
    <s v="BERAS"/>
    <n v="500"/>
    <n v="5422500"/>
  </r>
  <r>
    <d v="2020-09-23T00:00:00"/>
    <s v="TOKO SOFIAN"/>
    <s v="BERAS"/>
    <n v="2000"/>
    <n v="21690000"/>
  </r>
  <r>
    <d v="2020-09-23T00:00:00"/>
    <s v="TOKO IIP KUSPOYO"/>
    <s v="BERAS"/>
    <n v="170"/>
    <n v="1843650"/>
  </r>
  <r>
    <d v="2020-09-28T00:00:00"/>
    <s v="TOKO FEBRIANTI INDAH LESTARI"/>
    <s v="BERAS"/>
    <n v="1500"/>
    <n v="15727500"/>
  </r>
  <r>
    <d v="2020-09-28T00:00:00"/>
    <s v="TOKO PRAYOGA"/>
    <s v="BERAS"/>
    <n v="2000"/>
    <n v="20970000"/>
  </r>
  <r>
    <d v="2020-09-28T00:00:00"/>
    <s v="TOKO YULIANA"/>
    <s v="BERAS"/>
    <n v="3500"/>
    <n v="36697500"/>
  </r>
  <r>
    <d v="2020-09-28T00:00:00"/>
    <s v="TOKO EKO BUDI WINASIS"/>
    <s v="BERAS"/>
    <n v="160"/>
    <n v="1677600"/>
  </r>
  <r>
    <d v="2020-09-28T00:00:00"/>
    <s v="TOKO FLORENTINA"/>
    <s v="BERAS"/>
    <n v="500"/>
    <n v="5242500"/>
  </r>
  <r>
    <d v="2020-09-28T00:00:00"/>
    <s v="TOKO RUSMALA"/>
    <s v="BERAS"/>
    <n v="500"/>
    <n v="5242500"/>
  </r>
  <r>
    <d v="2020-09-28T00:00:00"/>
    <s v="TOKO AGUSTINUS"/>
    <s v="BERAS"/>
    <n v="2000"/>
    <n v="20970000"/>
  </r>
  <r>
    <d v="2020-09-28T00:00:00"/>
    <s v="TOKO QOYIM MASYAHARI"/>
    <s v="BERAS"/>
    <n v="500"/>
    <n v="5242500"/>
  </r>
  <r>
    <d v="2020-09-28T00:00:00"/>
    <s v="TOKO AHMAD PUTRA"/>
    <s v="BERAS"/>
    <n v="230"/>
    <n v="2411550"/>
  </r>
  <r>
    <d v="2020-09-28T00:00:00"/>
    <s v="TOKO IIP KUSPOYO"/>
    <s v="BERAS"/>
    <n v="810"/>
    <n v="8492850"/>
  </r>
  <r>
    <d v="2020-09-29T00:00:00"/>
    <s v="TOKO SUKA SUKA"/>
    <s v="BERAS"/>
    <n v="1100"/>
    <n v="11149600"/>
  </r>
  <r>
    <d v="2020-09-29T00:00:00"/>
    <s v="TOKO SUKA SUKA"/>
    <s v="DAGING"/>
    <n v="100"/>
    <n v="8816000"/>
  </r>
  <r>
    <d v="2020-09-29T00:00:00"/>
    <s v="TOKO BERKAH DUA PUTRA"/>
    <s v="BERAS"/>
    <n v="630"/>
    <n v="6646500"/>
  </r>
  <r>
    <d v="2020-09-29T00:00:00"/>
    <s v="TOKO BERKAH DUA PUTRA"/>
    <s v="BERAS"/>
    <n v="500"/>
    <n v="5064000"/>
  </r>
  <r>
    <d v="2020-10-05T00:00:00"/>
    <s v="TOKO HANAFI"/>
    <s v="BERAS"/>
    <n v="220"/>
    <n v="2321000"/>
  </r>
  <r>
    <d v="2020-10-05T00:00:00"/>
    <s v="TOKO HANAFI"/>
    <s v="BERAS"/>
    <n v="50"/>
    <n v="506400"/>
  </r>
  <r>
    <d v="2020-10-05T00:00:00"/>
    <s v="TOKO HANAFI"/>
    <s v="DAGING"/>
    <n v="40"/>
    <n v="3526400"/>
  </r>
  <r>
    <d v="2020-10-05T00:00:00"/>
    <s v="TOKO DIDIK PRIOJADMIKO"/>
    <s v="BERAS"/>
    <n v="1500"/>
    <n v="15727500"/>
  </r>
  <r>
    <d v="2020-10-05T00:00:00"/>
    <s v="TOKO URAI INA KURNIA"/>
    <s v="BERAS"/>
    <n v="2300"/>
    <n v="24115500"/>
  </r>
  <r>
    <d v="2020-10-05T00:00:00"/>
    <s v="TOKO DEWI AFRITA"/>
    <s v="BERAS"/>
    <n v="1500"/>
    <n v="15727500"/>
  </r>
  <r>
    <d v="2020-10-05T00:00:00"/>
    <s v="TOKO ARI YANTO"/>
    <s v="BERAS"/>
    <n v="1800"/>
    <n v="18873000"/>
  </r>
  <r>
    <d v="2020-10-05T00:00:00"/>
    <s v="TOKO ALEXANDER Y."/>
    <s v="BERAS"/>
    <n v="1000"/>
    <n v="10485000"/>
  </r>
  <r>
    <d v="2020-10-05T00:00:00"/>
    <s v="TOKO JUANTI"/>
    <s v="BERAS"/>
    <n v="800"/>
    <n v="8388000"/>
  </r>
  <r>
    <d v="2020-10-05T00:00:00"/>
    <s v="TOKO APRIYANTO"/>
    <s v="BERAS"/>
    <n v="300"/>
    <n v="3145500"/>
  </r>
  <r>
    <d v="2020-10-05T00:00:00"/>
    <s v="TOKO HENDRA. S"/>
    <s v="BERAS"/>
    <n v="1000"/>
    <n v="10485000"/>
  </r>
  <r>
    <d v="2020-10-07T00:00:00"/>
    <s v="TOKO KOPERASI KONSUMEN SYARIAH BERKAH BERSEMI"/>
    <s v="BERAS"/>
    <n v="270"/>
    <n v="2848500"/>
  </r>
  <r>
    <d v="2020-10-07T00:00:00"/>
    <s v="TOKO ENDANG SUSILAWATI"/>
    <s v="BERAS"/>
    <n v="5900"/>
    <n v="61861500"/>
  </r>
  <r>
    <d v="2020-10-07T00:00:00"/>
    <s v="TOKO MIKA ERNAWATI"/>
    <s v="BERAS"/>
    <n v="650"/>
    <n v="6815250"/>
  </r>
  <r>
    <d v="2020-10-07T00:00:00"/>
    <s v="TOKO MUHAMMAD RONI"/>
    <s v="BERAS"/>
    <n v="400"/>
    <n v="4194000"/>
  </r>
  <r>
    <d v="2020-10-07T00:00:00"/>
    <s v="TOKO EKA SAPUTRA JAYA"/>
    <s v="BERAS"/>
    <n v="1000"/>
    <n v="10485000"/>
  </r>
  <r>
    <d v="2020-10-07T00:00:00"/>
    <s v="TOKO ASUN"/>
    <s v="BERAS"/>
    <n v="1500"/>
    <n v="15727500"/>
  </r>
  <r>
    <d v="2020-10-07T00:00:00"/>
    <s v="TOKO MOMONG ALPINA"/>
    <s v="BERAS"/>
    <n v="500"/>
    <n v="5242500"/>
  </r>
  <r>
    <d v="2020-10-12T00:00:00"/>
    <s v="ANAPSA"/>
    <s v="BERAS"/>
    <n v="350"/>
    <n v="3692500"/>
  </r>
  <r>
    <d v="2020-10-12T00:00:00"/>
    <s v="ANAPSA"/>
    <s v="BERAS"/>
    <n v="1000"/>
    <n v="10128000"/>
  </r>
  <r>
    <d v="2020-10-12T00:00:00"/>
    <s v="ANAPSA"/>
    <s v="GULA"/>
    <n v="50"/>
    <n v="590000"/>
  </r>
  <r>
    <d v="2020-10-12T00:00:00"/>
    <s v="ANAPSA"/>
    <s v="DAGING"/>
    <n v="25"/>
    <n v="2204000"/>
  </r>
  <r>
    <d v="2020-10-12T00:00:00"/>
    <s v="TOKO BUNAWI"/>
    <s v="BERAS"/>
    <n v="2500"/>
    <n v="26212500"/>
  </r>
  <r>
    <d v="2020-10-12T00:00:00"/>
    <s v="TOKO DWI SUSILO"/>
    <s v="BERAS"/>
    <n v="1100"/>
    <n v="11533500"/>
  </r>
  <r>
    <d v="2020-10-12T00:00:00"/>
    <s v="TOKO DEWI AFRITA"/>
    <s v="BERAS"/>
    <n v="4000"/>
    <n v="41940000"/>
  </r>
  <r>
    <d v="2020-10-12T00:00:00"/>
    <s v="TOKO IDAWATI"/>
    <s v="BERAS"/>
    <n v="210"/>
    <n v="2201850"/>
  </r>
  <r>
    <d v="2020-10-12T00:00:00"/>
    <s v="TOKO AMRAN"/>
    <s v="BERAS"/>
    <n v="300"/>
    <n v="3145500"/>
  </r>
  <r>
    <d v="2020-10-12T00:00:00"/>
    <s v="TOKO IMIN"/>
    <s v="BERAS"/>
    <n v="2000"/>
    <n v="20970000"/>
  </r>
  <r>
    <d v="2020-10-15T00:00:00"/>
    <s v="TOKO SIMON SUMARDI"/>
    <s v="BERAS"/>
    <n v="1300"/>
    <n v="13630500"/>
  </r>
  <r>
    <d v="2020-10-15T00:00:00"/>
    <s v="TOKO NURFADILAH"/>
    <s v="BERAS"/>
    <n v="2000"/>
    <n v="20970000"/>
  </r>
  <r>
    <d v="2020-10-15T00:00:00"/>
    <s v="TOKO ASEP SAFRUDIN"/>
    <s v="BERAS"/>
    <n v="200"/>
    <n v="2097000"/>
  </r>
  <r>
    <d v="2020-10-15T00:00:00"/>
    <s v="TOKO DEWI AFRITA"/>
    <s v="BERAS"/>
    <n v="2000"/>
    <n v="20970000"/>
  </r>
  <r>
    <d v="2020-10-15T00:00:00"/>
    <s v="TOKO ENDANG HARTATI"/>
    <s v="BERAS"/>
    <n v="1500"/>
    <n v="15727500"/>
  </r>
  <r>
    <d v="2020-10-15T00:00:00"/>
    <s v="TOKO BERKAH DUA PUTRA"/>
    <s v="BERAS"/>
    <n v="280"/>
    <n v="2954000"/>
  </r>
  <r>
    <d v="2020-10-15T00:00:00"/>
    <s v="TOKO BERKAH DUA PUTRA"/>
    <s v="GULA"/>
    <n v="50"/>
    <n v="590000"/>
  </r>
  <r>
    <d v="2020-10-15T00:00:00"/>
    <s v="TOKO BERKAH DUA PUTRA"/>
    <s v="DAGING"/>
    <n v="25"/>
    <n v="2204000"/>
  </r>
  <r>
    <d v="2020-10-15T00:00:00"/>
    <s v="TOKO BERKAH DUA PUTRA"/>
    <s v="MIGOR"/>
    <n v="300"/>
    <n v="3847800"/>
  </r>
  <r>
    <d v="2020-10-15T00:00:00"/>
    <s v="TOKO BERKAH DUA PUTRA"/>
    <s v="TEPUNG"/>
    <n v="100"/>
    <n v="832600"/>
  </r>
  <r>
    <d v="2020-10-15T00:00:00"/>
    <s v="TOKO MAJU TERUS"/>
    <s v="MIGOR"/>
    <n v="300"/>
    <n v="3847800"/>
  </r>
  <r>
    <d v="2020-10-15T00:00:00"/>
    <s v="TOKO MAJU TERUS"/>
    <s v="TEPUNG"/>
    <n v="100"/>
    <n v="832600"/>
  </r>
  <r>
    <d v="2020-10-15T00:00:00"/>
    <s v="TOKO SIDAK"/>
    <s v="MIGOR"/>
    <n v="300"/>
    <n v="3847800"/>
  </r>
  <r>
    <d v="2020-10-15T00:00:00"/>
    <s v="TOKO SIDAK"/>
    <s v="TEPUNG"/>
    <n v="100"/>
    <n v="832600"/>
  </r>
  <r>
    <d v="2020-10-15T00:00:00"/>
    <s v="SAHABAT ANDA"/>
    <s v="MIGOR"/>
    <n v="300"/>
    <n v="3847800"/>
  </r>
  <r>
    <d v="2020-10-15T00:00:00"/>
    <s v="SAHABAT ANDA"/>
    <s v="TEPUNG"/>
    <n v="100"/>
    <n v="832600"/>
  </r>
  <r>
    <d v="2020-10-16T00:00:00"/>
    <s v="TOKO NURFADILAH"/>
    <s v="MIGOR"/>
    <n v="200"/>
    <n v="2565200"/>
  </r>
  <r>
    <d v="2020-10-16T00:00:00"/>
    <s v="TOKO NURFADILAH"/>
    <s v="TEPUNG"/>
    <n v="140"/>
    <n v="1165640"/>
  </r>
  <r>
    <d v="2020-10-16T00:00:00"/>
    <s v="TOKO BUNAWI"/>
    <s v="MIGOR"/>
    <n v="400"/>
    <n v="5130400"/>
  </r>
  <r>
    <d v="2020-10-16T00:00:00"/>
    <s v="TOKO BUNAWI"/>
    <s v="TEPUNG"/>
    <n v="100"/>
    <n v="832600"/>
  </r>
  <r>
    <d v="2020-10-16T00:00:00"/>
    <s v="TOKO EKO BUDI WINASIS"/>
    <s v="BERAS"/>
    <n v="210"/>
    <n v="2201850"/>
  </r>
  <r>
    <d v="2020-10-16T00:00:00"/>
    <s v="TOKO YENNI SUSILAWATI"/>
    <s v="BERAS"/>
    <n v="2000"/>
    <n v="20970000"/>
  </r>
  <r>
    <d v="2020-10-16T00:00:00"/>
    <s v="TOKO ENDANG SUSILAWATI"/>
    <s v="BERAS"/>
    <n v="3000"/>
    <n v="31455000"/>
  </r>
  <r>
    <d v="2020-10-16T00:00:00"/>
    <s v="TOKO YAKOB"/>
    <s v="BERAS"/>
    <n v="2000"/>
    <n v="20970000"/>
  </r>
  <r>
    <d v="2020-10-20T00:00:00"/>
    <s v="TOKO SIMON SUMARDI"/>
    <s v="DAGING"/>
    <n v="50"/>
    <n v="4408000"/>
  </r>
  <r>
    <d v="2020-10-20T00:00:00"/>
    <s v="TOKO SIMON SUMARDI"/>
    <s v="MIGOR"/>
    <n v="600"/>
    <n v="7695600"/>
  </r>
  <r>
    <d v="2020-10-20T00:00:00"/>
    <s v="TOKO SIMON SUMARDI"/>
    <s v="TEPUNG"/>
    <n v="100"/>
    <n v="832600"/>
  </r>
  <r>
    <d v="2020-10-20T00:00:00"/>
    <s v="TOKO ARI YANTO"/>
    <s v="MIGOR"/>
    <n v="600"/>
    <n v="7695600"/>
  </r>
  <r>
    <d v="2020-10-20T00:00:00"/>
    <s v="TOKO ARI YANTO"/>
    <s v="TEPUNG"/>
    <n v="100"/>
    <n v="832600"/>
  </r>
  <r>
    <d v="2020-10-20T00:00:00"/>
    <s v="TOKO ALEXANDER Y."/>
    <s v="BERAS"/>
    <n v="1500"/>
    <n v="16267500"/>
  </r>
  <r>
    <d v="2020-10-20T00:00:00"/>
    <s v="TOKO YULIANA"/>
    <s v="BERAS"/>
    <n v="3510"/>
    <n v="38065950"/>
  </r>
  <r>
    <d v="2020-10-20T00:00:00"/>
    <s v="TOKO HENI LAY"/>
    <s v="BERAS"/>
    <n v="500"/>
    <n v="5422500"/>
  </r>
  <r>
    <d v="2020-10-20T00:00:00"/>
    <s v="TOKO SUBIANTO"/>
    <s v="BERAS"/>
    <n v="210"/>
    <n v="2277450"/>
  </r>
  <r>
    <d v="2020-10-20T00:00:00"/>
    <s v="TOKO SUNDARIANTO"/>
    <s v="BERAS"/>
    <n v="400"/>
    <n v="4338000"/>
  </r>
  <r>
    <d v="2020-10-20T00:00:00"/>
    <s v="TOKO EKO BUDI WINASIS"/>
    <s v="BERAS"/>
    <n v="170"/>
    <n v="1843650"/>
  </r>
  <r>
    <d v="2020-10-20T00:00:00"/>
    <s v="TOKO DIDIK PRIOJADMIKO"/>
    <s v="BERAS"/>
    <n v="1500"/>
    <n v="16267500"/>
  </r>
  <r>
    <d v="2020-10-20T00:00:00"/>
    <s v="TOKO HERMANTO"/>
    <s v="BERAS"/>
    <n v="2990"/>
    <n v="32426550"/>
  </r>
  <r>
    <d v="2020-10-22T00:00:00"/>
    <s v="TOKO MOMONG ALPINA"/>
    <s v="MIGOR"/>
    <n v="600"/>
    <n v="7695600"/>
  </r>
  <r>
    <d v="2020-10-22T00:00:00"/>
    <s v="TOKO MOMONG ALPINA"/>
    <s v="TEPUNG"/>
    <n v="20"/>
    <n v="166520"/>
  </r>
  <r>
    <d v="2020-10-22T00:00:00"/>
    <s v="TOKO EKA SAPUTRA JAYA"/>
    <s v="MIGOR"/>
    <n v="360"/>
    <n v="4617360"/>
  </r>
  <r>
    <d v="2020-10-22T00:00:00"/>
    <s v="TOKO EKA SAPUTRA JAYA"/>
    <s v="TEPUNG"/>
    <n v="40"/>
    <n v="333040"/>
  </r>
  <r>
    <d v="2020-10-23T00:00:00"/>
    <s v="TOKO FEBRIANTI INDAH LESTARI"/>
    <s v="BERAS"/>
    <n v="1470"/>
    <n v="15868650"/>
  </r>
  <r>
    <d v="2020-10-23T00:00:00"/>
    <s v="TOKO KHET MEN"/>
    <s v="BERAS"/>
    <n v="1000"/>
    <n v="10795000"/>
  </r>
  <r>
    <d v="2020-10-23T00:00:00"/>
    <s v="TOKO DWI SUSILO"/>
    <s v="BERAS"/>
    <n v="840"/>
    <n v="9067800"/>
  </r>
  <r>
    <d v="2020-10-23T00:00:00"/>
    <s v="TOKO GERRY GUMILANG"/>
    <s v="BERAS"/>
    <n v="2000"/>
    <n v="21590000"/>
  </r>
  <r>
    <d v="2020-10-23T00:00:00"/>
    <s v="TOKO DWIANA MARYATI"/>
    <s v="BERAS"/>
    <n v="500"/>
    <n v="5397500"/>
  </r>
  <r>
    <d v="2020-10-23T00:00:00"/>
    <s v="TOKO SOFIAN"/>
    <s v="BERAS"/>
    <n v="2000"/>
    <n v="21590000"/>
  </r>
  <r>
    <d v="2020-10-23T00:00:00"/>
    <s v="TOKO IIP KUSPOYO"/>
    <s v="BERAS"/>
    <n v="1000"/>
    <n v="10795000"/>
  </r>
  <r>
    <d v="2020-10-26T00:00:00"/>
    <s v="TOKO PRAYOGA"/>
    <s v="BERAS"/>
    <n v="5000"/>
    <n v="53975000"/>
  </r>
  <r>
    <d v="2020-10-26T00:00:00"/>
    <s v="TOKO IMIN"/>
    <s v="BERAS"/>
    <n v="1000"/>
    <n v="10795000"/>
  </r>
  <r>
    <d v="2020-10-26T00:00:00"/>
    <s v="TOKO JUANTI"/>
    <s v="BERAS"/>
    <n v="1700"/>
    <n v="18351500"/>
  </r>
  <r>
    <d v="2020-10-26T00:00:00"/>
    <s v="YAYASAN KESEJAHTERAAN PEGAWAI (YKP) BNI"/>
    <s v="BERAS"/>
    <n v="185"/>
    <n v="2220000"/>
  </r>
  <r>
    <d v="2020-10-26T00:00:00"/>
    <s v="YAYASAN KESEJAHTERAAN PEGAWAI (YKP) BNI"/>
    <s v="BERAS"/>
    <n v="74"/>
    <n v="1702000"/>
  </r>
  <r>
    <d v="2020-11-04T00:00:00"/>
    <s v="TOKO BUNGUR"/>
    <s v="BERAS"/>
    <n v="100"/>
    <n v="1076500"/>
  </r>
  <r>
    <d v="2020-11-04T00:00:00"/>
    <s v="TOKO BUNGUR"/>
    <s v="BERAS"/>
    <n v="700"/>
    <n v="7339500"/>
  </r>
  <r>
    <d v="2020-11-04T00:00:00"/>
    <s v="TOKO BUNGUR"/>
    <s v="GULA"/>
    <n v="150"/>
    <n v="1770000"/>
  </r>
  <r>
    <d v="2020-11-04T00:00:00"/>
    <s v="TOKO BUNGUR"/>
    <s v="DAGING"/>
    <n v="80"/>
    <n v="7052800"/>
  </r>
  <r>
    <d v="2020-11-04T00:00:00"/>
    <s v="TOKO BUNGUR"/>
    <s v="MIGOR"/>
    <n v="40"/>
    <n v="513040"/>
  </r>
  <r>
    <d v="2020-11-06T00:00:00"/>
    <s v="TOKO BU YULI"/>
    <s v="BERAS"/>
    <n v="700"/>
    <n v="7350000"/>
  </r>
  <r>
    <d v="2020-11-06T00:00:00"/>
    <s v="TOKO DWI SUSILO"/>
    <s v="BERAS"/>
    <n v="1050"/>
    <n v="11334750"/>
  </r>
  <r>
    <d v="2020-11-06T00:00:00"/>
    <s v="TOKO URAI INA KURNIA"/>
    <s v="BERAS"/>
    <n v="2700"/>
    <n v="29146500"/>
  </r>
  <r>
    <d v="2020-11-06T00:00:00"/>
    <s v="TOKO GERRY GUMILANG"/>
    <s v="BERAS"/>
    <n v="4000"/>
    <n v="43180000"/>
  </r>
  <r>
    <d v="2020-11-09T00:00:00"/>
    <s v="TOKO IRVA"/>
    <s v="BERAS"/>
    <n v="50"/>
    <n v="538250"/>
  </r>
  <r>
    <d v="2020-11-09T00:00:00"/>
    <s v="TOKO IRVA"/>
    <s v="BERAS"/>
    <n v="750"/>
    <n v="7863750"/>
  </r>
  <r>
    <d v="2020-11-09T00:00:00"/>
    <s v="TOKO IRVA"/>
    <s v="GULA"/>
    <n v="250"/>
    <n v="2950000"/>
  </r>
  <r>
    <d v="2020-11-09T00:00:00"/>
    <s v="TOKO IRVA"/>
    <s v="DAGING"/>
    <n v="50"/>
    <n v="4408000"/>
  </r>
  <r>
    <d v="2020-11-09T00:00:00"/>
    <s v="TOKO ARDO"/>
    <s v="BERAS"/>
    <n v="700"/>
    <n v="7350000"/>
  </r>
  <r>
    <d v="2020-11-09T00:00:00"/>
    <s v="TOKO ARDO"/>
    <s v="BERAS"/>
    <n v="200"/>
    <n v="2024000"/>
  </r>
  <r>
    <d v="2020-11-09T00:00:00"/>
    <s v="TOKO HERI HARYANTO"/>
    <s v="BERAS"/>
    <n v="500"/>
    <n v="5397500"/>
  </r>
  <r>
    <d v="2020-11-09T00:00:00"/>
    <s v="TOKO ABANG HERIYANSYAH"/>
    <s v="BERAS"/>
    <n v="2000"/>
    <n v="21590000"/>
  </r>
  <r>
    <d v="2020-11-09T00:00:00"/>
    <s v="TOKO APRIYANTO"/>
    <s v="BERAS"/>
    <n v="2400"/>
    <n v="25908000"/>
  </r>
  <r>
    <d v="2020-11-09T00:00:00"/>
    <s v="TOKO DEWI AFRITA"/>
    <s v="BERAS"/>
    <n v="2000"/>
    <n v="21590000"/>
  </r>
  <r>
    <d v="2020-11-11T00:00:00"/>
    <s v="TOKO ADELA"/>
    <s v="BERAS"/>
    <n v="350"/>
    <n v="3669750"/>
  </r>
  <r>
    <d v="2020-11-11T00:00:00"/>
    <s v="TOKO ADELA"/>
    <s v="BERAS"/>
    <n v="150"/>
    <n v="1518000"/>
  </r>
  <r>
    <d v="2020-11-11T00:00:00"/>
    <s v="TOKO ENDANG HARTATI"/>
    <s v="BERAS"/>
    <n v="2000"/>
    <n v="21590000"/>
  </r>
  <r>
    <d v="2020-11-11T00:00:00"/>
    <s v="TOKO SILVIANA"/>
    <s v="BERAS"/>
    <n v="1000"/>
    <n v="10795000"/>
  </r>
  <r>
    <d v="2020-11-12T00:00:00"/>
    <s v="TOKO IDAWATI"/>
    <s v="BERAS"/>
    <n v="230"/>
    <n v="2481700"/>
  </r>
  <r>
    <d v="2020-11-12T00:00:00"/>
    <s v="TOKO APRIYANTO"/>
    <s v="BERAS"/>
    <n v="1100"/>
    <n v="11869000"/>
  </r>
  <r>
    <d v="2020-11-12T00:00:00"/>
    <s v="TOKO FATMAWATI"/>
    <s v="BERAS"/>
    <n v="1000"/>
    <n v="10790000"/>
  </r>
  <r>
    <d v="2020-11-12T00:00:00"/>
    <s v="TOKO IIP KUSPOYO"/>
    <s v="BERAS"/>
    <n v="1000"/>
    <n v="10790000"/>
  </r>
  <r>
    <d v="2020-11-12T00:00:00"/>
    <s v="TOKO HENI LAY"/>
    <s v="BERAS"/>
    <n v="500"/>
    <n v="5395000"/>
  </r>
  <r>
    <d v="2020-11-13T00:00:00"/>
    <s v="TOKO DEWI AFRITA"/>
    <s v="BERAS"/>
    <n v="4000"/>
    <n v="43160000"/>
  </r>
  <r>
    <d v="2020-11-13T00:00:00"/>
    <s v="TOKO AMRAN"/>
    <s v="BERAS"/>
    <n v="200"/>
    <n v="2158000"/>
  </r>
  <r>
    <d v="2020-11-16T00:00:00"/>
    <s v="TOKO YENNI SUSILAWATI"/>
    <s v="BERAS"/>
    <n v="2000"/>
    <n v="21580000"/>
  </r>
  <r>
    <d v="2020-11-16T00:00:00"/>
    <s v="TOKO YULIANA"/>
    <s v="BERAS"/>
    <n v="4000"/>
    <n v="43160000"/>
  </r>
  <r>
    <d v="2020-11-16T00:00:00"/>
    <s v="TOKO YAKOB"/>
    <s v="BERAS"/>
    <n v="6000"/>
    <n v="64740000"/>
  </r>
  <r>
    <d v="2020-11-16T00:00:00"/>
    <s v="TOKO HERMANTO"/>
    <s v="BERAS"/>
    <n v="4000"/>
    <n v="43160000"/>
  </r>
  <r>
    <d v="2020-11-17T00:00:00"/>
    <s v="TOKO ENDANG SUSILAWATI"/>
    <s v="BERAS"/>
    <n v="8000"/>
    <n v="86320000"/>
  </r>
  <r>
    <d v="2020-11-17T00:00:00"/>
    <s v="TOKO ARI YANTO"/>
    <s v="BERAS"/>
    <n v="2000"/>
    <n v="21580000"/>
  </r>
  <r>
    <d v="2020-11-17T00:00:00"/>
    <s v="TOKO MIKA ERNAWATI"/>
    <s v="BERAS"/>
    <n v="450"/>
    <n v="4855500"/>
  </r>
  <r>
    <d v="2020-11-17T00:00:00"/>
    <s v="TOKO EKO BUDI WINASIS"/>
    <s v="BERAS"/>
    <n v="360"/>
    <n v="3884400"/>
  </r>
  <r>
    <d v="2020-11-17T00:00:00"/>
    <s v="TOKO JUANTI"/>
    <s v="BERAS"/>
    <n v="1500"/>
    <n v="16185000"/>
  </r>
  <r>
    <d v="2020-11-17T00:00:00"/>
    <s v="TOKO HERMANSYAH"/>
    <s v="BERAS"/>
    <n v="300"/>
    <n v="3237000"/>
  </r>
  <r>
    <d v="2020-11-17T00:00:00"/>
    <s v="TOKO NURDIAH"/>
    <s v="BERAS"/>
    <n v="300"/>
    <n v="3237000"/>
  </r>
  <r>
    <d v="2020-11-17T00:00:00"/>
    <s v="TOKO ASEP SAFRUDIN"/>
    <s v="BERAS"/>
    <n v="400"/>
    <n v="4316000"/>
  </r>
  <r>
    <d v="2020-11-17T00:00:00"/>
    <s v="TOKO SUNDARIANTO"/>
    <s v="BERAS"/>
    <n v="600"/>
    <n v="6474000"/>
  </r>
  <r>
    <d v="2020-11-17T00:00:00"/>
    <s v="TOKO NURFADILAH"/>
    <s v="BERAS"/>
    <n v="1900"/>
    <n v="20501000"/>
  </r>
  <r>
    <d v="2020-11-17T00:00:00"/>
    <s v="TOKO IMIN"/>
    <s v="BERAS"/>
    <n v="1500"/>
    <n v="16185000"/>
  </r>
  <r>
    <d v="2020-11-18T00:00:00"/>
    <s v="TOKO SIMON SUMARDI"/>
    <s v="BERAS"/>
    <n v="1300"/>
    <n v="14027000"/>
  </r>
  <r>
    <d v="2020-11-18T00:00:00"/>
    <s v="TOKO ALEXANDER Y."/>
    <s v="BERAS"/>
    <n v="2250"/>
    <n v="24277500"/>
  </r>
  <r>
    <d v="2020-11-18T00:00:00"/>
    <s v="TOKO DWIANA MARYATI"/>
    <s v="BERAS"/>
    <n v="250"/>
    <n v="2697500"/>
  </r>
  <r>
    <d v="2020-11-18T00:00:00"/>
    <s v="TOKO KHET MEN"/>
    <s v="BERAS"/>
    <n v="500"/>
    <n v="5395000"/>
  </r>
  <r>
    <d v="2020-11-18T00:00:00"/>
    <s v="TOKO SARDIYANTO"/>
    <s v="BERAS"/>
    <n v="2000"/>
    <n v="21580000"/>
  </r>
  <r>
    <d v="2020-11-20T00:00:00"/>
    <s v="TOKO FLORENTINA"/>
    <s v="BERAS"/>
    <n v="500"/>
    <n v="5395000"/>
  </r>
  <r>
    <d v="2020-11-20T00:00:00"/>
    <s v="TOKO RUSMALA"/>
    <s v="BERAS"/>
    <n v="400"/>
    <n v="4316000"/>
  </r>
  <r>
    <d v="2020-11-20T00:00:00"/>
    <s v="TOKO QOYIM MASYAHARI"/>
    <s v="BERAS"/>
    <n v="500"/>
    <n v="5395000"/>
  </r>
  <r>
    <d v="2020-11-20T00:00:00"/>
    <s v="TOKO FEBRIANTI INDAH LESTARI"/>
    <s v="BERAS"/>
    <n v="670"/>
    <n v="7232650"/>
  </r>
  <r>
    <d v="2020-11-20T00:00:00"/>
    <s v="TOKO DWI SUSILO"/>
    <s v="BERAS"/>
    <n v="1150"/>
    <n v="12408500"/>
  </r>
  <r>
    <d v="2020-11-23T00:00:00"/>
    <s v="TOKO FEBRIANTI INDAH LESTARI"/>
    <s v="BERAS"/>
    <n v="830"/>
    <n v="8955700"/>
  </r>
  <r>
    <d v="2020-11-23T00:00:00"/>
    <s v="TOKO PRAYOGA"/>
    <s v="BERAS"/>
    <n v="5000"/>
    <n v="53950000"/>
  </r>
  <r>
    <d v="2020-11-23T00:00:00"/>
    <s v="TOKO ANDREAS INDAH"/>
    <s v="BERAS"/>
    <n v="4030"/>
    <n v="43483700"/>
  </r>
  <r>
    <d v="2020-11-23T00:00:00"/>
    <s v="TOKO HENDRA. S"/>
    <s v="BERAS"/>
    <n v="500"/>
    <n v="5395000"/>
  </r>
  <r>
    <d v="2020-11-23T00:00:00"/>
    <s v="TOKO IMIN"/>
    <s v="BERAS"/>
    <n v="3500"/>
    <n v="37765000"/>
  </r>
  <r>
    <d v="2020-11-24T00:00:00"/>
    <s v="TOKO YAKOB"/>
    <s v="BERAS"/>
    <n v="110"/>
    <n v="1186900"/>
  </r>
  <r>
    <d v="2020-11-24T00:00:00"/>
    <s v="TOKO ENDANG SUSILAWATI"/>
    <s v="BERAS"/>
    <n v="4000"/>
    <n v="43160000"/>
  </r>
  <r>
    <d v="2020-11-24T00:00:00"/>
    <s v="TOKO GERRY GUMILANG"/>
    <s v="BERAS"/>
    <n v="6000"/>
    <n v="64740000"/>
  </r>
  <r>
    <d v="2020-11-24T00:00:00"/>
    <s v="TOKO APRIYANTO"/>
    <s v="BERAS"/>
    <n v="2000"/>
    <n v="21580000"/>
  </r>
  <r>
    <d v="2020-11-24T00:00:00"/>
    <s v="TOKO MUHAMMAD RONI"/>
    <s v="BERAS"/>
    <n v="500"/>
    <n v="5395000"/>
  </r>
  <r>
    <d v="2020-11-24T00:00:00"/>
    <s v="TOKO ABANG HERIYANSYAH"/>
    <s v="BERAS"/>
    <n v="4000"/>
    <n v="43160000"/>
  </r>
  <r>
    <d v="2020-11-24T00:00:00"/>
    <s v="TOKO AIDI K."/>
    <s v="BERAS"/>
    <n v="12460"/>
    <n v="130643100"/>
  </r>
  <r>
    <d v="2020-11-24T00:00:00"/>
    <s v="TOKO BU YULI"/>
    <s v="BERAS"/>
    <n v="175"/>
    <n v="1883875"/>
  </r>
  <r>
    <d v="2020-11-24T00:00:00"/>
    <s v="TOKO BU YULI"/>
    <s v="BERAS"/>
    <n v="1140"/>
    <n v="11952900"/>
  </r>
  <r>
    <d v="2020-11-24T00:00:00"/>
    <s v="TOKO BU YULI"/>
    <s v="BERAS"/>
    <n v="600"/>
    <n v="6072000"/>
  </r>
  <r>
    <d v="2020-11-24T00:00:00"/>
    <s v="TOKO NURFADILAH"/>
    <s v="GULA"/>
    <n v="1512"/>
    <n v="18144000"/>
  </r>
  <r>
    <d v="2020-11-24T00:00:00"/>
    <s v="TOKO NURFADILAH"/>
    <s v="DAGING"/>
    <n v="200"/>
    <n v="17232000"/>
  </r>
  <r>
    <d v="2020-11-24T00:00:00"/>
    <s v="TOKO NURFADILAH"/>
    <s v="MIGOR"/>
    <n v="60"/>
    <n v="769560"/>
  </r>
  <r>
    <d v="2020-11-24T00:00:00"/>
    <s v="TOKO NURFADILAH"/>
    <s v="TEPUNG"/>
    <n v="60"/>
    <n v="499560"/>
  </r>
  <r>
    <d v="2020-11-25T00:00:00"/>
    <s v="TOKO AIDI K."/>
    <s v="BERAS"/>
    <n v="33880"/>
    <n v="359771720"/>
  </r>
  <r>
    <d v="2020-11-26T00:00:00"/>
    <s v="TOKO AIDI K."/>
    <s v="BERAS"/>
    <n v="17390"/>
    <n v="184664410"/>
  </r>
  <r>
    <d v="2020-11-27T00:00:00"/>
    <s v="TOKO ADELA"/>
    <s v="BERAS"/>
    <n v="500"/>
    <n v="5309500"/>
  </r>
  <r>
    <d v="2020-11-27T00:00:00"/>
    <s v="TOKO ADELA"/>
    <s v="BERAS"/>
    <n v="50"/>
    <n v="506000"/>
  </r>
  <r>
    <d v="2020-11-27T00:00:00"/>
    <s v="TOKO ADELA"/>
    <s v="GULA"/>
    <n v="96"/>
    <n v="1152000"/>
  </r>
  <r>
    <d v="2020-11-27T00:00:00"/>
    <s v="TOKO ADELA"/>
    <s v="DAGING"/>
    <n v="100"/>
    <n v="8616000"/>
  </r>
  <r>
    <d v="2020-11-27T00:00:00"/>
    <s v="TOKO AIDI K."/>
    <s v="BERAS"/>
    <n v="17390"/>
    <n v="184664410"/>
  </r>
  <r>
    <d v="2020-11-27T00:00:00"/>
    <s v="TOKO ISNANI SITI RAFIAH"/>
    <s v="BERAS"/>
    <n v="1500"/>
    <n v="16185000"/>
  </r>
  <r>
    <d v="2020-12-01T00:00:00"/>
    <s v="TOKO AIDI K."/>
    <s v="BERAS"/>
    <n v="23480"/>
    <n v="249334120"/>
  </r>
  <r>
    <d v="2020-12-02T00:00:00"/>
    <s v="TOKO BERKAH DUA PUTRA"/>
    <s v="GULA"/>
    <n v="312"/>
    <n v="3744000"/>
  </r>
  <r>
    <d v="2020-12-02T00:00:00"/>
    <s v="TOKO BERKAH DUA PUTRA"/>
    <s v="DAGING"/>
    <n v="40"/>
    <n v="3446400"/>
  </r>
  <r>
    <d v="2020-12-02T00:00:00"/>
    <s v="TOKO BERKAH DUA PUTRA"/>
    <s v="MIGOR"/>
    <n v="48"/>
    <n v="615648"/>
  </r>
  <r>
    <d v="2020-12-02T00:00:00"/>
    <s v="TOKO BERKAH DUA PUTRA"/>
    <s v="TEPUNG"/>
    <n v="140"/>
    <n v="1165640"/>
  </r>
  <r>
    <d v="2020-12-02T00:00:00"/>
    <s v="TOKO AIDI K."/>
    <s v="BERAS"/>
    <n v="18640"/>
    <n v="197938160"/>
  </r>
  <r>
    <d v="2020-12-02T00:00:00"/>
    <s v="TOKO AIDI K."/>
    <s v="BERAS"/>
    <n v="25"/>
    <n v="575000"/>
  </r>
  <r>
    <d v="2020-12-02T00:00:00"/>
    <s v="TOKO ENDANG HARTATI"/>
    <s v="BERAS"/>
    <n v="2000"/>
    <n v="21650000"/>
  </r>
  <r>
    <d v="2020-12-03T00:00:00"/>
    <s v="TOKO AMI"/>
    <s v="GULA"/>
    <n v="970"/>
    <n v="11640000"/>
  </r>
  <r>
    <d v="2020-12-03T00:00:00"/>
    <s v="TOKO KOPERASI KONSUMEN SYARIAH BERKAH BERSEMI"/>
    <s v="GULA"/>
    <n v="950"/>
    <n v="11400000"/>
  </r>
  <r>
    <d v="2020-12-03T00:00:00"/>
    <s v="TOKO AIDI K."/>
    <s v="BERAS"/>
    <n v="520"/>
    <n v="5452200"/>
  </r>
  <r>
    <d v="2020-12-03T00:00:00"/>
    <s v="TOKO URAI INA KURNIA"/>
    <s v="BERAS"/>
    <n v="2000"/>
    <n v="21650000"/>
  </r>
  <r>
    <d v="2020-12-04T00:00:00"/>
    <s v="TOKO AIDI K."/>
    <s v="BERAS"/>
    <n v="10820"/>
    <n v="114897580"/>
  </r>
  <r>
    <d v="2020-12-07T00:00:00"/>
    <s v="TOKO DEDES"/>
    <s v="BERAS"/>
    <n v="1000"/>
    <n v="10619000"/>
  </r>
  <r>
    <d v="2020-12-07T00:00:00"/>
    <s v="TOKO YUSMAN DABU"/>
    <s v="GULA"/>
    <n v="168"/>
    <n v="2016000"/>
  </r>
  <r>
    <d v="2020-12-07T00:00:00"/>
    <s v="TOKO YUSMAN DABU"/>
    <s v="DAGING"/>
    <n v="50"/>
    <n v="4308000"/>
  </r>
  <r>
    <d v="2020-12-07T00:00:00"/>
    <s v="TOKO YUSMAN DABU"/>
    <s v="MIGOR"/>
    <n v="144"/>
    <n v="1846944"/>
  </r>
  <r>
    <d v="2020-12-07T00:00:00"/>
    <s v="TOKO YUSMAN DABU"/>
    <s v="TEPUNG"/>
    <n v="40"/>
    <n v="333040"/>
  </r>
  <r>
    <d v="2020-12-10T00:00:00"/>
    <s v="TOKO SIDAK"/>
    <s v="BERAS"/>
    <n v="1000"/>
    <n v="10619000"/>
  </r>
  <r>
    <d v="2020-12-10T00:00:00"/>
    <s v="TOKO SIDAK"/>
    <s v="GULA"/>
    <n v="48"/>
    <n v="576000"/>
  </r>
  <r>
    <d v="2020-12-10T00:00:00"/>
    <s v="TOKO SIDAK"/>
    <s v="DAGING"/>
    <n v="50"/>
    <n v="4308000"/>
  </r>
  <r>
    <d v="2020-12-10T00:00:00"/>
    <s v="TOKO SIDAK"/>
    <s v="MIGOR"/>
    <n v="36"/>
    <n v="461736"/>
  </r>
  <r>
    <d v="2020-12-10T00:00:00"/>
    <s v="TOKO SIDAK"/>
    <s v="TEPUNG"/>
    <n v="20"/>
    <n v="166520"/>
  </r>
  <r>
    <d v="2020-12-15T00:00:00"/>
    <s v="TOKO SIMON SUMARDI"/>
    <s v="BERAS"/>
    <n v="1400"/>
    <n v="15155000"/>
  </r>
  <r>
    <d v="2020-12-15T00:00:00"/>
    <s v="TOKO ARI YANTO"/>
    <s v="BERAS"/>
    <n v="2000"/>
    <n v="21650000"/>
  </r>
  <r>
    <d v="2020-12-15T00:00:00"/>
    <s v="TOKO HERI HARYANTO"/>
    <s v="BERAS"/>
    <n v="700"/>
    <n v="7577500"/>
  </r>
  <r>
    <d v="2020-12-15T00:00:00"/>
    <s v="TOKO JUANTI"/>
    <s v="BERAS"/>
    <n v="1500"/>
    <n v="16237500"/>
  </r>
  <r>
    <d v="2020-12-15T00:00:00"/>
    <s v="TOKO NURFADILAH"/>
    <s v="BERAS"/>
    <n v="1000"/>
    <n v="10825000"/>
  </r>
  <r>
    <d v="2020-12-15T00:00:00"/>
    <s v="TOKO IMIN"/>
    <s v="BERAS"/>
    <n v="3500"/>
    <n v="37887500"/>
  </r>
  <r>
    <d v="2020-12-15T00:00:00"/>
    <s v="TOKO SARDIYANTO"/>
    <s v="BERAS"/>
    <n v="2000"/>
    <n v="21650000"/>
  </r>
  <r>
    <d v="2020-12-15T00:00:00"/>
    <s v="TOKO DWI SUSILO"/>
    <s v="BERAS"/>
    <n v="380"/>
    <n v="4113500"/>
  </r>
  <r>
    <d v="2020-12-15T00:00:00"/>
    <s v="TOKO DEWI AFRITA"/>
    <s v="BERAS"/>
    <n v="7000"/>
    <n v="75775000"/>
  </r>
  <r>
    <d v="2020-12-15T00:00:00"/>
    <s v="TOKO BUNAWI"/>
    <s v="BERAS"/>
    <n v="1500"/>
    <n v="16237500"/>
  </r>
  <r>
    <d v="2020-12-16T00:00:00"/>
    <s v="TOKO ENDANG HARTATI"/>
    <s v="BERAS"/>
    <n v="2000"/>
    <n v="21650000"/>
  </r>
  <r>
    <d v="2020-12-16T00:00:00"/>
    <s v="TOKO IDAWATI"/>
    <s v="BERAS"/>
    <n v="230"/>
    <n v="2489750"/>
  </r>
  <r>
    <d v="2020-12-16T00:00:00"/>
    <s v="TOKO ASEP SAFRUDIN"/>
    <s v="BERAS"/>
    <n v="400"/>
    <n v="4330000"/>
  </r>
  <r>
    <d v="2020-12-16T00:00:00"/>
    <s v="TOKO AMRAN"/>
    <s v="BERAS"/>
    <n v="300"/>
    <n v="3247500"/>
  </r>
  <r>
    <d v="2020-12-16T00:00:00"/>
    <s v="TOKO HENI LAY"/>
    <s v="BERAS"/>
    <n v="470"/>
    <n v="5087750"/>
  </r>
  <r>
    <d v="2020-12-16T00:00:00"/>
    <s v="TOKO SUNDARIANTO"/>
    <s v="BERAS"/>
    <n v="400"/>
    <n v="4330000"/>
  </r>
  <r>
    <d v="2020-12-16T00:00:00"/>
    <s v="TOKO IIP KUSPOYO"/>
    <s v="BERAS"/>
    <n v="1000"/>
    <n v="10825000"/>
  </r>
  <r>
    <d v="2020-12-16T00:00:00"/>
    <s v="TOKO AIDI K."/>
    <s v="BERAS"/>
    <n v="1660"/>
    <n v="17627540"/>
  </r>
  <r>
    <d v="2020-12-17T00:00:00"/>
    <s v="TOKO EKO BUDI WINASIS"/>
    <s v="BERAS"/>
    <n v="350"/>
    <n v="3788750"/>
  </r>
  <r>
    <d v="2020-12-17T00:00:00"/>
    <s v="TOKO AGUSTINUS"/>
    <s v="BERAS"/>
    <n v="500"/>
    <n v="5412500"/>
  </r>
  <r>
    <d v="2020-12-17T00:00:00"/>
    <s v="TOKO QOYIM MASYAHARI"/>
    <s v="BERAS"/>
    <n v="500"/>
    <n v="5412500"/>
  </r>
  <r>
    <d v="2020-12-17T00:00:00"/>
    <s v="TOKO SOFIAN"/>
    <s v="BERAS"/>
    <n v="500"/>
    <n v="5412500"/>
  </r>
  <r>
    <d v="2020-12-17T00:00:00"/>
    <s v="TOKO YENNI SUSILAWATI"/>
    <s v="BERAS"/>
    <n v="2000"/>
    <n v="21650000"/>
  </r>
  <r>
    <d v="2020-12-17T00:00:00"/>
    <s v="TOKO KHET MEN"/>
    <s v="BERAS"/>
    <n v="500"/>
    <n v="5412500"/>
  </r>
  <r>
    <d v="2020-12-17T00:00:00"/>
    <s v="TOKO DEWI AFRITA"/>
    <s v="BERAS"/>
    <n v="3040"/>
    <n v="32908000"/>
  </r>
  <r>
    <d v="2020-12-17T00:00:00"/>
    <s v="TOKO ENDANG SUSILAWATI"/>
    <s v="BERAS"/>
    <n v="10000"/>
    <n v="108250000"/>
  </r>
  <r>
    <d v="2020-12-18T00:00:00"/>
    <s v="TOKO FEBRIANTI INDAH LESTARI"/>
    <s v="BERAS"/>
    <n v="1500"/>
    <n v="16159500"/>
  </r>
  <r>
    <d v="2020-12-18T00:00:00"/>
    <s v="TOKO DIDIK PRIOJADMIKO"/>
    <s v="BERAS"/>
    <n v="1800"/>
    <n v="19391400"/>
  </r>
  <r>
    <d v="2020-12-18T00:00:00"/>
    <s v="TOKO DWI SUSILO"/>
    <s v="BERAS"/>
    <n v="1620"/>
    <n v="17452260"/>
  </r>
  <r>
    <d v="2020-12-18T00:00:00"/>
    <s v="TOKO DEWI AFRITA"/>
    <s v="BERAS"/>
    <n v="1960"/>
    <n v="21115080"/>
  </r>
  <r>
    <d v="2020-12-18T00:00:00"/>
    <s v="TOKO ALEXANDER Y."/>
    <s v="BERAS"/>
    <n v="2250"/>
    <n v="24239250"/>
  </r>
  <r>
    <d v="2020-12-18T00:00:00"/>
    <s v="TOKO MIKA ERNAWATI"/>
    <s v="BERAS"/>
    <n v="500"/>
    <n v="5386500"/>
  </r>
  <r>
    <d v="2020-12-18T00:00:00"/>
    <s v="TOKO APRIYANTO"/>
    <s v="BERAS"/>
    <n v="500"/>
    <n v="5386500"/>
  </r>
  <r>
    <d v="2020-12-18T00:00:00"/>
    <s v="TOKO JUANTI"/>
    <s v="BERAS"/>
    <n v="500"/>
    <n v="5386500"/>
  </r>
  <r>
    <d v="2020-12-21T00:00:00"/>
    <s v="TOKO ANDREAS INDAH"/>
    <s v="BERAS"/>
    <n v="4000"/>
    <n v="43092000"/>
  </r>
  <r>
    <d v="2020-12-21T00:00:00"/>
    <s v="TOKO GERRY GUMILANG"/>
    <s v="BERAS"/>
    <n v="4000"/>
    <n v="43092000"/>
  </r>
  <r>
    <d v="2020-12-21T00:00:00"/>
    <s v="TOKO YAKOB"/>
    <s v="BERAS"/>
    <n v="6000"/>
    <n v="64638000"/>
  </r>
  <r>
    <d v="2020-12-21T00:00:00"/>
    <s v="TOKO HERMANTO"/>
    <s v="BERAS"/>
    <n v="3500"/>
    <n v="37705500"/>
  </r>
  <r>
    <d v="2020-12-21T00:00:00"/>
    <s v="TOKO YULIANA"/>
    <s v="BERAS"/>
    <n v="3500"/>
    <n v="37705500"/>
  </r>
  <r>
    <d v="2020-12-21T00:00:00"/>
    <s v="TOKO BU YULI"/>
    <s v="BERAS"/>
    <n v="100"/>
    <n v="1086000"/>
  </r>
  <r>
    <d v="2020-12-21T00:00:00"/>
    <s v="TOKO BU YULI"/>
    <s v="BERAS"/>
    <n v="1000"/>
    <n v="10619000"/>
  </r>
  <r>
    <d v="2020-12-21T00:00:00"/>
    <s v="TOKO BU YULI"/>
    <s v="BERAS"/>
    <n v="50"/>
    <n v="510300"/>
  </r>
  <r>
    <d v="2020-12-21T00:00:00"/>
    <s v="TOKO BU YULI"/>
    <s v="GULA"/>
    <n v="300"/>
    <n v="3600000"/>
  </r>
  <r>
    <d v="2020-12-21T00:00:00"/>
    <s v="TOKO BU YULI"/>
    <s v="DAGING"/>
    <n v="100"/>
    <n v="8616000"/>
  </r>
  <r>
    <d v="2020-12-21T00:00:00"/>
    <s v="TOKO BU YULI"/>
    <s v="MIGOR"/>
    <n v="400"/>
    <n v="5130400"/>
  </r>
  <r>
    <d v="2020-12-21T00:00:00"/>
    <s v="TOKO BU YULI"/>
    <s v="TEPUNG"/>
    <n v="40"/>
    <n v="333040"/>
  </r>
  <r>
    <d v="2020-12-21T00:00:00"/>
    <s v="WARUNG NAK ZIHAN"/>
    <s v="BERAS"/>
    <n v="100"/>
    <n v="1086000"/>
  </r>
  <r>
    <d v="2020-12-21T00:00:00"/>
    <s v="WARUNG NAK ZIHAN"/>
    <s v="BERAS"/>
    <n v="650"/>
    <n v="6902350"/>
  </r>
  <r>
    <d v="2020-12-21T00:00:00"/>
    <s v="WARUNG NAK ZIHAN"/>
    <s v="BERAS"/>
    <n v="100"/>
    <n v="1020600"/>
  </r>
  <r>
    <d v="2020-12-21T00:00:00"/>
    <s v="WARUNG NAK ZIHAN"/>
    <s v="GULA"/>
    <n v="420"/>
    <n v="5040000"/>
  </r>
  <r>
    <d v="2020-12-21T00:00:00"/>
    <s v="WARUNG NAK ZIHAN"/>
    <s v="DAGING"/>
    <n v="75"/>
    <n v="6462000"/>
  </r>
  <r>
    <d v="2020-12-21T00:00:00"/>
    <s v="WARUNG NAK ZIHAN"/>
    <s v="MIGOR"/>
    <n v="80"/>
    <n v="1026080"/>
  </r>
  <r>
    <d v="2020-12-21T00:00:00"/>
    <s v="WARUNG NAK ZIHAN"/>
    <s v="TEPUNG"/>
    <n v="100"/>
    <n v="832600"/>
  </r>
  <r>
    <d v="2020-12-22T00:00:00"/>
    <s v="TOKO IRVA"/>
    <s v="GULA"/>
    <n v="2400"/>
    <n v="28800000"/>
  </r>
  <r>
    <d v="2020-12-22T00:00:00"/>
    <s v="TOKO ADELA"/>
    <s v="GULA"/>
    <n v="2400"/>
    <n v="28800000"/>
  </r>
  <r>
    <d v="2020-12-22T00:00:00"/>
    <s v="TOKO ADELA"/>
    <s v="MIGOR"/>
    <n v="60"/>
    <n v="769560"/>
  </r>
  <r>
    <d v="2020-12-29T00:00:00"/>
    <s v="TOKO BERKAH DUA PUTRA"/>
    <s v="GULA"/>
    <n v="2000"/>
    <n v="24000000"/>
  </r>
  <r>
    <d v="2020-12-29T00:00:00"/>
    <s v="TOKO BUNGUR"/>
    <s v="GULA"/>
    <n v="1288"/>
    <n v="15456000"/>
  </r>
  <r>
    <d v="2021-01-06T00:00:00"/>
    <s v="TOKO ALIKA"/>
    <s v="GULA"/>
    <n v="36"/>
    <n v="432000"/>
  </r>
  <r>
    <d v="2021-01-06T00:00:00"/>
    <s v="TOKO ALIKA"/>
    <s v="DAGING"/>
    <n v="25"/>
    <n v="2154000"/>
  </r>
  <r>
    <d v="2021-01-06T00:00:00"/>
    <s v="TOKO AMI"/>
    <s v="GULA"/>
    <n v="36"/>
    <n v="432000"/>
  </r>
  <r>
    <d v="2021-01-06T00:00:00"/>
    <s v="TOKO AMI"/>
    <s v="DAGING"/>
    <n v="75"/>
    <n v="6462000"/>
  </r>
  <r>
    <d v="2021-01-06T00:00:00"/>
    <s v="TOKO AMI"/>
    <s v="DAGING"/>
    <n v="40"/>
    <n v="2806400"/>
  </r>
  <r>
    <d v="2021-01-06T00:00:00"/>
    <s v="TOKO KOTABARU"/>
    <s v="GULA"/>
    <n v="120"/>
    <n v="1440000"/>
  </r>
  <r>
    <d v="2021-01-06T00:00:00"/>
    <s v="TOKO KOTABARU"/>
    <s v="DAGING"/>
    <n v="75"/>
    <n v="6462000"/>
  </r>
  <r>
    <d v="2021-01-06T00:00:00"/>
    <s v="TOKO KOTABARU"/>
    <s v="BERAS"/>
    <n v="1500"/>
    <n v="15850500"/>
  </r>
  <r>
    <d v="2021-01-11T00:00:00"/>
    <s v="TOKO NURJANAH"/>
    <s v="GULA"/>
    <n v="96"/>
    <n v="1152000"/>
  </r>
  <r>
    <d v="2021-01-11T00:00:00"/>
    <s v="TOKO NURJANAH"/>
    <s v="DAGING"/>
    <n v="40"/>
    <n v="2806400"/>
  </r>
  <r>
    <d v="2021-01-11T00:00:00"/>
    <s v="TOKO MUNIR"/>
    <s v="BERAS"/>
    <n v="750"/>
    <n v="7925250"/>
  </r>
  <r>
    <d v="2021-01-11T00:00:00"/>
    <s v="SAHABAT ANDA"/>
    <s v="DAGING"/>
    <n v="150"/>
    <n v="12924000"/>
  </r>
  <r>
    <d v="2021-01-11T00:00:00"/>
    <s v="SAHABAT ANDA"/>
    <s v="DAGING"/>
    <n v="40"/>
    <n v="2806400"/>
  </r>
  <r>
    <d v="2021-01-11T00:00:00"/>
    <s v="SAHABAT ANDA"/>
    <s v="MIGOR"/>
    <n v="60"/>
    <n v="769560"/>
  </r>
  <r>
    <d v="2021-01-14T00:00:00"/>
    <s v="TOKO ALEXANDER Y."/>
    <s v="BERAS"/>
    <n v="2250"/>
    <n v="24239250"/>
  </r>
  <r>
    <d v="2021-01-14T00:00:00"/>
    <s v="TOKO ASEP SAFRUDIN"/>
    <s v="BERAS"/>
    <n v="300"/>
    <n v="3231900"/>
  </r>
  <r>
    <d v="2021-01-14T00:00:00"/>
    <s v="TOKO AMRAN"/>
    <s v="BERAS"/>
    <n v="300"/>
    <n v="3231900"/>
  </r>
  <r>
    <d v="2021-01-14T00:00:00"/>
    <s v="TOKO HERI HARYANTO"/>
    <s v="BERAS"/>
    <n v="600"/>
    <n v="6463800"/>
  </r>
  <r>
    <d v="2021-01-14T00:00:00"/>
    <s v="TOKO DWIANA MARYATI"/>
    <s v="BERAS"/>
    <n v="250"/>
    <n v="2693250"/>
  </r>
  <r>
    <d v="2021-01-14T00:00:00"/>
    <s v="TOKO SUNDARIANTO"/>
    <s v="BERAS"/>
    <n v="400"/>
    <n v="4309200"/>
  </r>
  <r>
    <d v="2021-01-14T00:00:00"/>
    <s v="TOKO QOYIM MASYAHARI"/>
    <s v="BERAS"/>
    <n v="250"/>
    <n v="2693250"/>
  </r>
  <r>
    <d v="2021-01-14T00:00:00"/>
    <s v="TOKO DEWI AFRITA"/>
    <s v="BERAS"/>
    <n v="5000"/>
    <n v="53865000"/>
  </r>
  <r>
    <d v="2021-01-14T00:00:00"/>
    <s v="TOKO URAI INA KURNIA"/>
    <s v="BERAS"/>
    <n v="2000"/>
    <n v="21546000"/>
  </r>
  <r>
    <d v="2021-01-14T00:00:00"/>
    <s v="TOKO IIP KUSPOYO"/>
    <s v="BERAS"/>
    <n v="1000"/>
    <n v="10773000"/>
  </r>
  <r>
    <d v="2021-01-14T00:00:00"/>
    <s v="TOKO ASUN"/>
    <s v="BERAS"/>
    <n v="1500"/>
    <n v="16159500"/>
  </r>
  <r>
    <d v="2021-01-14T00:00:00"/>
    <s v="TOKO FEBRIANTI INDAH LESTARI"/>
    <s v="BERAS"/>
    <n v="1500"/>
    <n v="16159500"/>
  </r>
  <r>
    <d v="2021-01-18T00:00:00"/>
    <s v="TOKO SULASTRI AGUSTINI"/>
    <s v="DAGING"/>
    <n v="50"/>
    <n v="4308000"/>
  </r>
  <r>
    <d v="2021-01-18T00:00:00"/>
    <s v="TOKO BERKAH DUA PUTRA"/>
    <s v="MIGOR"/>
    <n v="108"/>
    <n v="1385208"/>
  </r>
  <r>
    <d v="2021-01-18T00:00:00"/>
    <s v="TOKO SUPER STOCK"/>
    <s v="GULA"/>
    <n v="96"/>
    <n v="1152000"/>
  </r>
  <r>
    <d v="2021-01-18T00:00:00"/>
    <s v="TOKO SIDAK"/>
    <s v="TEPUNG"/>
    <n v="20"/>
    <n v="166520"/>
  </r>
  <r>
    <d v="2021-01-20T00:00:00"/>
    <s v="TOKO ARDO"/>
    <s v="DAGING"/>
    <n v="200"/>
    <n v="14032000"/>
  </r>
  <r>
    <d v="2021-01-20T00:00:00"/>
    <s v="TOKO SULASTRI AGUSTINI"/>
    <s v="DAGING"/>
    <n v="140"/>
    <n v="9822400"/>
  </r>
  <r>
    <d v="2021-01-22T00:00:00"/>
    <s v="TOKO DWI RETNO SAMUDRO"/>
    <s v="MIGOR"/>
    <n v="204"/>
    <n v="2616504"/>
  </r>
  <r>
    <d v="2021-01-22T00:00:00"/>
    <s v="TOKO KOPERASI KONSUMEN SYARIAH BERKAH BERSEMI"/>
    <s v="GULA"/>
    <n v="72"/>
    <n v="864000"/>
  </r>
  <r>
    <d v="2021-01-22T00:00:00"/>
    <s v="TOKO KOPERASI KONSUMEN SYARIAH BERKAH BERSEMI"/>
    <s v="DAGING"/>
    <n v="25"/>
    <n v="2154000"/>
  </r>
  <r>
    <d v="2021-01-22T00:00:00"/>
    <s v="TOKO SYUHAINI"/>
    <s v="GULA"/>
    <n v="72"/>
    <n v="864000"/>
  </r>
  <r>
    <d v="2021-01-22T00:00:00"/>
    <s v="WARUNG NAK ZIHAN"/>
    <s v="MIGOR"/>
    <n v="204"/>
    <n v="2616504"/>
  </r>
  <r>
    <d v="2021-01-28T00:00:00"/>
    <s v="TOKO JERORA JAYA"/>
    <s v="BERAS"/>
    <n v="350"/>
    <n v="3699150"/>
  </r>
  <r>
    <d v="2021-01-28T00:00:00"/>
    <s v="TOKO MAJU TERUS"/>
    <s v="BERAS"/>
    <n v="350"/>
    <n v="3699150"/>
  </r>
  <r>
    <d v="2021-01-28T00:00:00"/>
    <s v="TOKO MAJU TERUS"/>
    <s v="TEPUNG"/>
    <n v="100"/>
    <n v="832600"/>
  </r>
  <r>
    <d v="2021-01-28T00:00:00"/>
    <s v="TOKO JERORA JAYA"/>
    <s v="DAGING"/>
    <n v="25"/>
    <n v="2154000"/>
  </r>
  <r>
    <d v="2021-01-28T00:00:00"/>
    <s v="TOKO JERORA JAYA"/>
    <s v="GULA"/>
    <n v="96"/>
    <n v="1152000"/>
  </r>
  <r>
    <d v="2021-01-28T00:00:00"/>
    <s v="TOKO BUNAWI"/>
    <s v="MIGOR"/>
    <n v="96"/>
    <n v="1231296"/>
  </r>
  <r>
    <d v="2021-02-01T00:00:00"/>
    <s v="TOKO NURFADILAH"/>
    <s v="MIGOR"/>
    <n v="1008"/>
    <n v="12928608"/>
  </r>
  <r>
    <d v="2021-02-01T00:00:00"/>
    <s v="TOKO NURFADILAH"/>
    <s v="DAGING"/>
    <n v="25"/>
    <n v="2154000"/>
  </r>
  <r>
    <d v="2021-02-01T00:00:00"/>
    <s v="TOKO NURFADILAH"/>
    <s v="GULA"/>
    <n v="360"/>
    <n v="4320000"/>
  </r>
  <r>
    <d v="2021-02-02T00:00:00"/>
    <s v="TOKO ANDREAS INDAH"/>
    <s v="BERAS"/>
    <n v="1750"/>
    <n v="18856250"/>
  </r>
  <r>
    <d v="2021-02-02T00:00:00"/>
    <s v="TOKO JERORA JAYA"/>
    <s v="MIGOR"/>
    <n v="960"/>
    <n v="12312960"/>
  </r>
  <r>
    <d v="2021-02-03T00:00:00"/>
    <s v="TOKO YUSMAN DABU"/>
    <s v="MIGOR"/>
    <n v="1200"/>
    <n v="15391200"/>
  </r>
  <r>
    <d v="2021-02-05T00:00:00"/>
    <s v="TOKO MAJU TERUS"/>
    <s v="GULA"/>
    <n v="1000"/>
    <n v="12000000"/>
  </r>
  <r>
    <d v="2021-02-05T00:00:00"/>
    <s v="TOKO BERKAH DUA PUTRA"/>
    <s v="DAGING"/>
    <n v="50"/>
    <n v="4308000"/>
  </r>
  <r>
    <d v="2021-02-05T00:00:00"/>
    <s v="TOKO BERKAH DUA PUTRA"/>
    <s v="MIGOR"/>
    <n v="832"/>
    <n v="10671232"/>
  </r>
  <r>
    <d v="2021-02-05T00:00:00"/>
    <s v="TOKO BERKAH DUA PUTRA"/>
    <s v="BERAS"/>
    <n v="800"/>
    <n v="8455200"/>
  </r>
  <r>
    <d v="2021-02-05T00:00:00"/>
    <s v="TOKO MAJU TERUS"/>
    <s v="TEPUNG"/>
    <n v="80"/>
    <n v="666080"/>
  </r>
  <r>
    <d v="2021-02-10T00:00:00"/>
    <s v="TOKO MUNIR"/>
    <s v="GULA"/>
    <n v="440"/>
    <n v="5280000"/>
  </r>
  <r>
    <d v="2021-02-16T00:00:00"/>
    <s v="TOKO BOB-I"/>
    <s v="GULA"/>
    <n v="360"/>
    <n v="4320000"/>
  </r>
  <r>
    <d v="2021-02-16T00:00:00"/>
    <s v="TOKO BUNGUR"/>
    <s v="TEPUNG"/>
    <n v="100"/>
    <n v="887600"/>
  </r>
  <r>
    <d v="2021-02-16T00:00:00"/>
    <s v="TOKO AMI"/>
    <s v="DAGING"/>
    <n v="100"/>
    <n v="8616000"/>
  </r>
  <r>
    <d v="2021-02-16T00:00:00"/>
    <s v="TOKO URAI INA KURNIA"/>
    <s v="BERAS"/>
    <n v="2000"/>
    <n v="21550000"/>
  </r>
  <r>
    <d v="2021-02-16T00:00:00"/>
    <s v="TOKO SARDIYANTO"/>
    <s v="BERAS"/>
    <n v="2000"/>
    <n v="21550000"/>
  </r>
  <r>
    <d v="2021-02-16T00:00:00"/>
    <s v="TOKO KHET MEN"/>
    <s v="BERAS"/>
    <n v="500"/>
    <n v="5387500"/>
  </r>
  <r>
    <d v="2021-02-16T00:00:00"/>
    <s v="TOKO ENDANG SUSILAWATI"/>
    <s v="BERAS"/>
    <n v="6000"/>
    <n v="64650000"/>
  </r>
  <r>
    <d v="2021-02-16T00:00:00"/>
    <s v="TOKO ENDANG HARTATI"/>
    <s v="BERAS"/>
    <n v="1000"/>
    <n v="10775000"/>
  </r>
  <r>
    <d v="2021-02-16T00:00:00"/>
    <s v="TOKO DEWI AFRITA"/>
    <s v="BERAS"/>
    <n v="3000"/>
    <n v="32325000"/>
  </r>
  <r>
    <d v="2021-02-16T00:00:00"/>
    <s v="TOKO BUNGUR"/>
    <s v="BERAS"/>
    <n v="1000"/>
    <n v="10569000"/>
  </r>
  <r>
    <d v="2021-02-17T00:00:00"/>
    <s v="TOKO AMRAN"/>
    <s v="BERAS"/>
    <n v="300"/>
    <n v="3232500"/>
  </r>
  <r>
    <d v="2021-02-17T00:00:00"/>
    <s v="TOKO SIMON SUMARDI"/>
    <s v="BERAS"/>
    <n v="1000"/>
    <n v="10775000"/>
  </r>
  <r>
    <d v="2021-02-17T00:00:00"/>
    <s v="TOKO JUANTI"/>
    <s v="BERAS"/>
    <n v="2000"/>
    <n v="21550000"/>
  </r>
  <r>
    <d v="2021-02-17T00:00:00"/>
    <s v="TOKO HERI HARYANTO"/>
    <s v="BERAS"/>
    <n v="700"/>
    <n v="7542500"/>
  </r>
  <r>
    <d v="2021-02-17T00:00:00"/>
    <s v="TOKO SOFIAN"/>
    <s v="BERAS"/>
    <n v="400"/>
    <n v="4310000"/>
  </r>
  <r>
    <d v="2021-02-17T00:00:00"/>
    <s v="TOKO MOMONG ALPINA"/>
    <s v="BERAS"/>
    <n v="500"/>
    <n v="5387500"/>
  </r>
  <r>
    <d v="2021-02-17T00:00:00"/>
    <s v="TOKO IMIN"/>
    <s v="BERAS"/>
    <n v="3000"/>
    <n v="32325000"/>
  </r>
  <r>
    <d v="2021-02-17T00:00:00"/>
    <s v="TOKO IDAWATI"/>
    <s v="BERAS"/>
    <n v="230"/>
    <n v="2478250"/>
  </r>
  <r>
    <d v="2021-02-17T00:00:00"/>
    <s v="TOKO EKO BUDI WINASIS"/>
    <s v="BERAS"/>
    <n v="320"/>
    <n v="3448000"/>
  </r>
  <r>
    <d v="2021-02-17T00:00:00"/>
    <s v="TOKO ASEP SAFRUDIN"/>
    <s v="BERAS"/>
    <n v="300"/>
    <n v="3232500"/>
  </r>
  <r>
    <d v="2021-02-19T00:00:00"/>
    <s v="TOKO DEDES"/>
    <s v="BERAS"/>
    <n v="500"/>
    <n v="5284500"/>
  </r>
  <r>
    <d v="2021-02-19T00:00:00"/>
    <s v="TOKO DEDES"/>
    <s v="DAGING"/>
    <n v="100"/>
    <n v="8616000"/>
  </r>
  <r>
    <d v="2021-02-22T00:00:00"/>
    <s v="TOKO ARDO"/>
    <s v="DAGING"/>
    <n v="80"/>
    <n v="5612800"/>
  </r>
  <r>
    <d v="2021-02-22T00:00:00"/>
    <s v="WARUNG NAK ZIHAN"/>
    <s v="GULA"/>
    <n v="1120"/>
    <n v="13440000"/>
  </r>
  <r>
    <d v="2021-02-23T00:00:00"/>
    <s v="TOKO YAKOB"/>
    <s v="BERAS"/>
    <n v="6000"/>
    <n v="64650000"/>
  </r>
  <r>
    <d v="2021-02-23T00:00:00"/>
    <s v="TOKO ENDANG SUSILAWATI"/>
    <s v="BERAS"/>
    <n v="6000"/>
    <n v="64650000"/>
  </r>
  <r>
    <d v="2021-02-23T00:00:00"/>
    <s v="TOKO DEWI AFRITA"/>
    <s v="BERAS"/>
    <n v="3500"/>
    <n v="37712500"/>
  </r>
  <r>
    <d v="2021-02-23T00:00:00"/>
    <s v="TOKO MIKA ERNAWATI"/>
    <s v="BERAS"/>
    <n v="500"/>
    <n v="5387500"/>
  </r>
  <r>
    <d v="2021-02-23T00:00:00"/>
    <s v="TOKO ALEXANDER Y."/>
    <s v="BERAS"/>
    <n v="1250"/>
    <n v="13468750"/>
  </r>
  <r>
    <d v="2021-02-23T00:00:00"/>
    <s v="TOKO GERRY GUMILANG"/>
    <s v="BERAS"/>
    <n v="2350"/>
    <n v="25321250"/>
  </r>
  <r>
    <d v="2021-02-25T00:00:00"/>
    <s v="TOKO BU YULI"/>
    <s v="DAGING"/>
    <n v="80"/>
    <n v="6892800"/>
  </r>
  <r>
    <d v="2021-03-02T00:00:00"/>
    <s v="TOKO NURDIAH"/>
    <s v="TEPUNG"/>
    <n v="100"/>
    <n v="887600"/>
  </r>
  <r>
    <d v="2021-03-02T00:00:00"/>
    <s v="TOKO IRVA"/>
    <s v="BERAS"/>
    <n v="400"/>
    <n v="4227600"/>
  </r>
  <r>
    <d v="2021-03-02T00:00:00"/>
    <s v="TOKO RIZKI SAKYAH"/>
    <s v="GULA"/>
    <n v="200"/>
    <n v="2400000"/>
  </r>
  <r>
    <d v="2021-03-02T00:00:00"/>
    <s v="SAHABAT ANDA"/>
    <s v="DAGING"/>
    <n v="100"/>
    <n v="8616000"/>
  </r>
  <r>
    <d v="2021-03-03T00:00:00"/>
    <s v="TOKO BU YULI"/>
    <s v="DAGING"/>
    <n v="80"/>
    <n v="5612800"/>
  </r>
  <r>
    <d v="2021-03-03T00:00:00"/>
    <s v="TOKO BU YULI"/>
    <s v="BERAS"/>
    <n v="500"/>
    <n v="5284500"/>
  </r>
  <r>
    <d v="2021-03-09T00:00:00"/>
    <s v="TOKO MOMONG ALPINA"/>
    <s v="DAGING"/>
    <n v="60"/>
    <n v="5169600"/>
  </r>
  <r>
    <d v="2021-03-09T00:00:00"/>
    <s v="TOKO MOMONG ALPINA"/>
    <s v="BERAS"/>
    <n v="320"/>
    <n v="3382080"/>
  </r>
  <r>
    <d v="2021-03-09T00:00:00"/>
    <s v="TOKO MOMONG ALPINA"/>
    <s v="TEPUNG"/>
    <n v="102"/>
    <n v="905352"/>
  </r>
  <r>
    <d v="2021-03-09T00:00:00"/>
    <s v="TOKO MOMONG ALPINA"/>
    <s v="GULA"/>
    <n v="32"/>
    <n v="384000"/>
  </r>
  <r>
    <d v="2021-03-18T00:00:00"/>
    <s v="TOKO ABIZAR"/>
    <s v="DAGING"/>
    <n v="35"/>
    <n v="3015600"/>
  </r>
  <r>
    <d v="2021-03-18T00:00:00"/>
    <s v="TOKO ABIZAR"/>
    <s v="BERAS"/>
    <n v="50"/>
    <n v="528450"/>
  </r>
  <r>
    <d v="2021-03-18T00:00:00"/>
    <s v="TOKO MAJU TERUS"/>
    <s v="DAGING"/>
    <n v="50"/>
    <n v="3508000"/>
  </r>
  <r>
    <d v="2021-03-18T00:00:00"/>
    <s v="TOKO FATHULLAH ZIKRI"/>
    <s v="GULA"/>
    <n v="200"/>
    <n v="2400000"/>
  </r>
  <r>
    <d v="2021-03-18T00:00:00"/>
    <s v="TOKO FATHULLAH ZIKRI"/>
    <s v="BERAS"/>
    <n v="100"/>
    <n v="1056900"/>
  </r>
  <r>
    <d v="2021-03-19T00:00:00"/>
    <s v="TOKO USAHA"/>
    <s v="BERAS"/>
    <n v="100"/>
    <n v="1056900"/>
  </r>
  <r>
    <d v="2021-03-19T00:00:00"/>
    <s v="TOKO MUNIR"/>
    <s v="DAGING"/>
    <n v="40"/>
    <n v="2806400"/>
  </r>
  <r>
    <d v="2021-03-19T00:00:00"/>
    <s v="TOKO MUNIR"/>
    <s v="BERAS"/>
    <n v="40"/>
    <n v="666400"/>
  </r>
  <r>
    <d v="2021-03-19T00:00:00"/>
    <s v="TOKO USAHA"/>
    <s v="DAGING"/>
    <n v="25"/>
    <n v="2154000"/>
  </r>
  <r>
    <d v="2021-03-22T00:00:00"/>
    <s v="TOKO KOTABARU"/>
    <s v="BERAS"/>
    <n v="250"/>
    <n v="2642250"/>
  </r>
  <r>
    <d v="2021-03-22T00:00:00"/>
    <s v="TOKO BERKAH DUA PUTRA"/>
    <s v="DAGING"/>
    <n v="25"/>
    <n v="2154000"/>
  </r>
  <r>
    <d v="2021-03-22T00:00:00"/>
    <s v="TOKO BERKAH DUA PUTRA"/>
    <s v="DAGING"/>
    <n v="20"/>
    <n v="1403200"/>
  </r>
  <r>
    <d v="2021-03-22T00:00:00"/>
    <s v="TOKO BOB-I"/>
    <s v="GULA"/>
    <n v="200"/>
    <n v="2400000"/>
  </r>
  <r>
    <d v="2021-03-22T00:00:00"/>
    <s v="TOKO BOB-I"/>
    <s v="BERAS"/>
    <n v="100"/>
    <n v="1056900"/>
  </r>
  <r>
    <d v="2021-03-22T00:00:00"/>
    <s v="TOKO KOTABARU"/>
    <s v="DAGING"/>
    <n v="10"/>
    <n v="701600"/>
  </r>
  <r>
    <d v="2021-03-23T00:00:00"/>
    <s v="TOKO BUNGUR"/>
    <s v="DAGING"/>
    <n v="35"/>
    <n v="3015600"/>
  </r>
  <r>
    <d v="2021-03-23T00:00:00"/>
    <s v="TOKO SIDAK"/>
    <s v="DAGING"/>
    <n v="35"/>
    <n v="3015600"/>
  </r>
  <r>
    <d v="2021-03-23T00:00:00"/>
    <s v="TOKO BUNGUR"/>
    <s v="TEPUNG"/>
    <n v="50"/>
    <n v="443800"/>
  </r>
  <r>
    <d v="2021-03-23T00:00:00"/>
    <s v="TOKO SULASTRI AGUSTINI"/>
    <s v="TEPUNG"/>
    <n v="60"/>
    <n v="532560"/>
  </r>
  <r>
    <d v="2021-03-23T00:00:00"/>
    <s v="TOKO SULASTRI AGUSTINI"/>
    <s v="DAGING"/>
    <n v="35"/>
    <n v="3015600"/>
  </r>
  <r>
    <d v="2021-03-23T00:00:00"/>
    <s v="TOKO AQIL"/>
    <s v="TEPUNG"/>
    <n v="38"/>
    <n v="337288"/>
  </r>
  <r>
    <d v="2021-03-23T00:00:00"/>
    <s v="TOKO AQIL"/>
    <s v="DAGING"/>
    <n v="35"/>
    <n v="3015600"/>
  </r>
  <r>
    <d v="2021-03-23T00:00:00"/>
    <s v="TOKO SIDAK"/>
    <s v="TEPUNG"/>
    <n v="50"/>
    <n v="443800"/>
  </r>
  <r>
    <d v="2021-03-25T00:00:00"/>
    <s v="TOKO JERORA JAYA"/>
    <s v="GULA"/>
    <n v="160"/>
    <n v="1920000"/>
  </r>
  <r>
    <d v="2021-03-25T00:00:00"/>
    <s v="TOKO AMI"/>
    <s v="DAGING"/>
    <n v="60"/>
    <n v="5169600"/>
  </r>
  <r>
    <d v="2021-03-25T00:00:00"/>
    <s v="TOKO JERORA JAYA"/>
    <s v="DAGING"/>
    <n v="40"/>
    <n v="3446400"/>
  </r>
  <r>
    <d v="2021-03-25T00:00:00"/>
    <s v="KARUNIA"/>
    <s v="DAGING"/>
    <n v="30"/>
    <n v="2104800"/>
  </r>
  <r>
    <d v="2021-03-25T00:00:00"/>
    <s v="KARUNIA"/>
    <s v="BERAS"/>
    <n v="150"/>
    <n v="1585350"/>
  </r>
  <r>
    <d v="2021-03-26T00:00:00"/>
    <s v="TOKO ANUGRAH"/>
    <s v="BERAS"/>
    <n v="500"/>
    <n v="5437500"/>
  </r>
  <r>
    <d v="2021-03-26T00:00:00"/>
    <s v="TOKO ADELA"/>
    <s v="DAGING"/>
    <n v="50"/>
    <n v="4308000"/>
  </r>
  <r>
    <d v="2021-03-26T00:00:00"/>
    <s v="TOKO YUSMAN DABU"/>
    <s v="DAGING"/>
    <n v="50"/>
    <n v="4308000"/>
  </r>
  <r>
    <d v="2021-03-26T00:00:00"/>
    <s v="TOKO DWI RETNO SAMUDRO"/>
    <s v="DAGING"/>
    <n v="60"/>
    <n v="4209600"/>
  </r>
  <r>
    <d v="2021-03-26T00:00:00"/>
    <s v="TOKO DWI RETNO SAMUDRO"/>
    <s v="BERAS"/>
    <n v="500"/>
    <n v="5437500"/>
  </r>
  <r>
    <d v="2021-03-26T00:00:00"/>
    <s v="TOKO ANUGRAH"/>
    <s v="DAGING"/>
    <n v="40"/>
    <n v="2806400"/>
  </r>
  <r>
    <d v="2021-03-29T00:00:00"/>
    <s v="WARUNG NAK ZIHAN"/>
    <s v="DAGING"/>
    <n v="20"/>
    <n v="1403200"/>
  </r>
  <r>
    <d v="2021-03-29T00:00:00"/>
    <s v="WARUNG NAK ZIHAN"/>
    <s v="GULA"/>
    <n v="120"/>
    <n v="1440000"/>
  </r>
  <r>
    <d v="2021-03-29T00:00:00"/>
    <s v="WARUNG NAK ZIHAN"/>
    <s v="BERAS"/>
    <n v="20"/>
    <n v="333200"/>
  </r>
  <r>
    <d v="2021-03-30T00:00:00"/>
    <s v="TOKO HIDAYAH"/>
    <s v="BERAS"/>
    <n v="300"/>
    <n v="3262500"/>
  </r>
  <r>
    <d v="2021-04-05T00:00:00"/>
    <s v="TOKO SIDAK"/>
    <s v="DAGING"/>
    <n v="80"/>
    <n v="5852800"/>
  </r>
  <r>
    <d v="2021-04-06T00:00:00"/>
    <s v="TOKO BU YULI"/>
    <s v="BERAS"/>
    <n v="2000"/>
    <n v="20412000"/>
  </r>
  <r>
    <d v="2021-04-06T00:00:00"/>
    <s v="TOKO GERRY GUMILANG"/>
    <s v="BERAS"/>
    <n v="1860"/>
    <n v="20227500"/>
  </r>
  <r>
    <d v="2021-04-06T00:00:00"/>
    <s v="TOKO YULIANA"/>
    <s v="BERAS"/>
    <n v="1000"/>
    <n v="10875000"/>
  </r>
  <r>
    <d v="2021-04-06T00:00:00"/>
    <s v="TOKO HERMANTO"/>
    <s v="BERAS"/>
    <n v="6000"/>
    <n v="65250000"/>
  </r>
  <r>
    <d v="2021-04-06T00:00:00"/>
    <s v="TOKO YAKOB"/>
    <s v="BERAS"/>
    <n v="6000"/>
    <n v="65250000"/>
  </r>
  <r>
    <d v="2021-04-06T00:00:00"/>
    <s v="TOKO ENDANG SUSILAWATI"/>
    <s v="BERAS"/>
    <n v="5000"/>
    <n v="54375000"/>
  </r>
  <r>
    <d v="2021-04-06T00:00:00"/>
    <s v="TOKO RIZKI SAKYAH"/>
    <s v="TEPUNG"/>
    <n v="100"/>
    <n v="887600"/>
  </r>
  <r>
    <d v="2021-04-06T00:00:00"/>
    <s v="TOKO RIZKI SAKYAH"/>
    <s v="BERAS"/>
    <n v="200"/>
    <n v="2041200"/>
  </r>
  <r>
    <d v="2021-04-06T00:00:00"/>
    <s v="TOKO RIZKI SAKYAH"/>
    <s v="GULA"/>
    <n v="220"/>
    <n v="2640000"/>
  </r>
  <r>
    <d v="2021-04-07T00:00:00"/>
    <s v="TOKO URAI INA KURNIA"/>
    <s v="BERAS"/>
    <n v="2000"/>
    <n v="21750000"/>
  </r>
  <r>
    <d v="2021-04-07T00:00:00"/>
    <s v="TOKO YENNI SUSILAWATI"/>
    <s v="BERAS"/>
    <n v="5000"/>
    <n v="54375000"/>
  </r>
  <r>
    <d v="2021-04-07T00:00:00"/>
    <s v="TOKO FEBRIANTI INDAH LESTARI"/>
    <s v="BERAS"/>
    <n v="3500"/>
    <n v="38062500"/>
  </r>
  <r>
    <d v="2021-04-07T00:00:00"/>
    <s v="TOKO ENDANG HARTATI"/>
    <s v="BERAS"/>
    <n v="1000"/>
    <n v="10875000"/>
  </r>
  <r>
    <d v="2021-04-07T00:00:00"/>
    <s v="TOKO KHET MEN"/>
    <s v="BERAS"/>
    <n v="1000"/>
    <n v="10875000"/>
  </r>
  <r>
    <d v="2021-01-06T00:00:00"/>
    <s v="TOKO KOTABARU"/>
    <s v="BERAS"/>
    <n v="1500"/>
    <n v="15850500"/>
  </r>
  <r>
    <d v="2021-01-06T00:00:00"/>
    <s v="TOKO KOTABARU"/>
    <s v="GULA"/>
    <n v="120"/>
    <n v="1440000"/>
  </r>
  <r>
    <d v="2021-01-06T00:00:00"/>
    <s v="TOKO KOTABARU"/>
    <s v="DAGING"/>
    <n v="75"/>
    <n v="6462000"/>
  </r>
  <r>
    <d v="2021-01-06T00:00:00"/>
    <s v="TOKO AMI"/>
    <s v="GULA"/>
    <n v="36"/>
    <n v="432000"/>
  </r>
  <r>
    <d v="2021-01-06T00:00:00"/>
    <s v="TOKO AMI"/>
    <s v="DAGING"/>
    <n v="75"/>
    <n v="6462000"/>
  </r>
  <r>
    <d v="2021-01-06T00:00:00"/>
    <s v="TOKO AMI"/>
    <s v="DAGING"/>
    <n v="40"/>
    <n v="2806400"/>
  </r>
  <r>
    <d v="2021-01-06T00:00:00"/>
    <s v="TOKO ALIKA"/>
    <s v="GULA"/>
    <n v="36"/>
    <n v="432000"/>
  </r>
  <r>
    <d v="2021-01-06T00:00:00"/>
    <s v="TOKO ALIKA"/>
    <s v="DAGING"/>
    <n v="25"/>
    <n v="2154000"/>
  </r>
  <r>
    <d v="2021-01-11T00:00:00"/>
    <s v="TOKO MUNIR"/>
    <s v="BERAS"/>
    <n v="750"/>
    <n v="7925250"/>
  </r>
  <r>
    <d v="2021-01-11T00:00:00"/>
    <s v="TOKO NURJANAH"/>
    <s v="GULA"/>
    <n v="96"/>
    <n v="1152000"/>
  </r>
  <r>
    <d v="2021-01-11T00:00:00"/>
    <s v="TOKO NURJANAH"/>
    <s v="DAGING"/>
    <n v="40"/>
    <n v="2806400"/>
  </r>
  <r>
    <d v="2021-01-11T00:00:00"/>
    <s v="SAHABAT ANDA"/>
    <s v="DAGING"/>
    <n v="150"/>
    <n v="12924000"/>
  </r>
  <r>
    <d v="2021-01-11T00:00:00"/>
    <s v="SAHABAT ANDA"/>
    <s v="DAGING"/>
    <n v="40"/>
    <n v="2806400"/>
  </r>
  <r>
    <d v="2021-01-11T00:00:00"/>
    <s v="SAHABAT ANDA"/>
    <s v="MIGOR"/>
    <n v="60"/>
    <n v="769560"/>
  </r>
  <r>
    <d v="2021-01-14T00:00:00"/>
    <s v="TOKO ALEXANDER Y."/>
    <s v="BERAS"/>
    <n v="2250"/>
    <n v="24239250"/>
  </r>
  <r>
    <d v="2021-01-14T00:00:00"/>
    <s v="TOKO HERI HARYANTO"/>
    <s v="BERAS"/>
    <n v="600"/>
    <n v="6463800"/>
  </r>
  <r>
    <d v="2021-01-14T00:00:00"/>
    <s v="TOKO AMRAN"/>
    <s v="BERAS"/>
    <n v="300"/>
    <n v="3231900"/>
  </r>
  <r>
    <d v="2021-01-14T00:00:00"/>
    <s v="TOKO ASEP SAFRUDIN"/>
    <s v="BERAS"/>
    <n v="300"/>
    <n v="3231900"/>
  </r>
  <r>
    <d v="2021-01-14T00:00:00"/>
    <s v="TOKO DWIANA MARYATI"/>
    <s v="BERAS"/>
    <n v="250"/>
    <n v="2693250"/>
  </r>
  <r>
    <d v="2021-01-14T00:00:00"/>
    <s v="TOKO QOYIM MASYAHARI"/>
    <s v="BERAS"/>
    <n v="250"/>
    <n v="2693250"/>
  </r>
  <r>
    <d v="2021-01-14T00:00:00"/>
    <s v="TOKO SUNDARIANTO"/>
    <s v="BERAS"/>
    <n v="400"/>
    <n v="4309200"/>
  </r>
  <r>
    <d v="2021-01-14T00:00:00"/>
    <s v="TOKO ASUN"/>
    <s v="BERAS"/>
    <n v="1500"/>
    <n v="16159500"/>
  </r>
  <r>
    <d v="2021-01-14T00:00:00"/>
    <s v="TOKO IIP KUSPOYO"/>
    <s v="BERAS"/>
    <n v="1000"/>
    <n v="10773000"/>
  </r>
  <r>
    <d v="2021-01-14T00:00:00"/>
    <s v="TOKO URAI INA KURNIA"/>
    <s v="BERAS"/>
    <n v="2000"/>
    <n v="21546000"/>
  </r>
  <r>
    <d v="2021-01-14T00:00:00"/>
    <s v="TOKO DEWI AFRITA"/>
    <s v="BERAS"/>
    <n v="5000"/>
    <n v="53865000"/>
  </r>
  <r>
    <d v="2021-01-14T00:00:00"/>
    <s v="TOKO FEBRIANTI INDAH LESTARI"/>
    <s v="BERAS"/>
    <n v="1500"/>
    <n v="16159500"/>
  </r>
  <r>
    <d v="2021-01-18T00:00:00"/>
    <s v="TOKO SULASTRI AGUSTINI"/>
    <s v="DAGING"/>
    <n v="50"/>
    <n v="4308000"/>
  </r>
  <r>
    <d v="2021-01-18T00:00:00"/>
    <s v="TOKO SUPER STOCK"/>
    <s v="GULA"/>
    <n v="96"/>
    <n v="1152000"/>
  </r>
  <r>
    <d v="2021-01-18T00:00:00"/>
    <s v="TOKO BERKAH DUA PUTRA"/>
    <s v="MIGOR"/>
    <n v="108"/>
    <n v="1385208"/>
  </r>
  <r>
    <d v="2021-01-18T00:00:00"/>
    <s v="TOKO SIDAK"/>
    <s v="TEPUNG"/>
    <n v="20"/>
    <n v="166520"/>
  </r>
  <r>
    <d v="2021-01-20T00:00:00"/>
    <s v="TOKO ARDO"/>
    <s v="DAGING"/>
    <n v="200"/>
    <n v="14032000"/>
  </r>
  <r>
    <d v="2021-01-20T00:00:00"/>
    <s v="TOKO SULASTRI AGUSTINI"/>
    <s v="DAGING"/>
    <n v="140"/>
    <n v="9822400"/>
  </r>
  <r>
    <d v="2021-01-22T00:00:00"/>
    <s v="TOKO DWI RETNO SAMUDRO"/>
    <s v="MIGOR"/>
    <n v="204"/>
    <n v="2616504"/>
  </r>
  <r>
    <d v="2021-01-22T00:00:00"/>
    <s v="WARUNG NAK ZIHAN"/>
    <s v="MIGOR"/>
    <n v="204"/>
    <n v="2616504"/>
  </r>
  <r>
    <d v="2021-01-22T00:00:00"/>
    <s v="TOKO SYUHAINI"/>
    <s v="GULA"/>
    <n v="72"/>
    <n v="864000"/>
  </r>
  <r>
    <d v="2021-01-22T00:00:00"/>
    <s v="TOKO KOPERASI KONSUMEN SYARIAH BERKAH BERSEMI"/>
    <s v="GULA"/>
    <n v="72"/>
    <n v="864000"/>
  </r>
  <r>
    <d v="2021-01-22T00:00:00"/>
    <s v="TOKO KOPERASI KONSUMEN SYARIAH BERKAH BERSEMI"/>
    <s v="DAGING"/>
    <n v="25"/>
    <n v="2154000"/>
  </r>
  <r>
    <d v="2021-01-28T00:00:00"/>
    <s v="TOKO JERORA JAYA"/>
    <s v="BERAS"/>
    <n v="350"/>
    <n v="3699150"/>
  </r>
  <r>
    <d v="2021-01-28T00:00:00"/>
    <s v="TOKO JERORA JAYA"/>
    <s v="GULA"/>
    <n v="96"/>
    <n v="1152000"/>
  </r>
  <r>
    <d v="2021-01-28T00:00:00"/>
    <s v="TOKO JERORA JAYA"/>
    <s v="DAGING"/>
    <n v="25"/>
    <n v="2154000"/>
  </r>
  <r>
    <d v="2021-01-28T00:00:00"/>
    <s v="TOKO MAJU TERUS"/>
    <s v="TEPUNG"/>
    <n v="100"/>
    <n v="832600"/>
  </r>
  <r>
    <d v="2021-01-28T00:00:00"/>
    <s v="TOKO MAJU TERUS"/>
    <s v="BERAS"/>
    <n v="350"/>
    <n v="3699150"/>
  </r>
  <r>
    <d v="2021-01-28T00:00:00"/>
    <s v="TOKO BUNAWI"/>
    <s v="MIGOR"/>
    <n v="96"/>
    <n v="1231296"/>
  </r>
  <r>
    <d v="2021-02-01T00:00:00"/>
    <s v="TOKO NURFADILAH"/>
    <s v="MIGOR"/>
    <n v="1008"/>
    <n v="12928608"/>
  </r>
  <r>
    <d v="2021-02-01T00:00:00"/>
    <s v="TOKO NURFADILAH"/>
    <s v="GULA"/>
    <n v="360"/>
    <n v="4320000"/>
  </r>
  <r>
    <d v="2021-02-01T00:00:00"/>
    <s v="TOKO NURFADILAH"/>
    <s v="DAGING"/>
    <n v="25"/>
    <n v="2154000"/>
  </r>
  <r>
    <d v="2021-02-02T00:00:00"/>
    <s v="TOKO JERORA JAYA"/>
    <s v="MIGOR"/>
    <n v="960"/>
    <n v="12312960"/>
  </r>
  <r>
    <d v="2021-02-02T00:00:00"/>
    <s v="TOKO ANDREAS INDAH"/>
    <s v="BERAS"/>
    <n v="1750"/>
    <n v="18856250"/>
  </r>
  <r>
    <d v="2021-02-03T00:00:00"/>
    <s v="TOKO YUSMAN DABU"/>
    <s v="MIGOR"/>
    <n v="1200"/>
    <n v="15391200"/>
  </r>
  <r>
    <d v="2021-02-05T00:00:00"/>
    <s v="TOKO MAJU TERUS"/>
    <s v="GULA"/>
    <n v="1000"/>
    <n v="12000000"/>
  </r>
  <r>
    <d v="2021-02-05T00:00:00"/>
    <s v="TOKO MAJU TERUS"/>
    <s v="TEPUNG"/>
    <n v="80"/>
    <n v="666080"/>
  </r>
  <r>
    <d v="2021-02-05T00:00:00"/>
    <s v="TOKO BERKAH DUA PUTRA"/>
    <s v="BERAS"/>
    <n v="800"/>
    <n v="8455200"/>
  </r>
  <r>
    <d v="2021-02-05T00:00:00"/>
    <s v="TOKO BERKAH DUA PUTRA"/>
    <s v="MIGOR"/>
    <n v="832"/>
    <n v="10671232"/>
  </r>
  <r>
    <d v="2021-02-05T00:00:00"/>
    <s v="TOKO BERKAH DUA PUTRA"/>
    <s v="DAGING"/>
    <n v="50"/>
    <n v="4308000"/>
  </r>
  <r>
    <d v="2021-02-10T00:00:00"/>
    <s v="TOKO MUNIR"/>
    <s v="GULA"/>
    <n v="440"/>
    <n v="5280000"/>
  </r>
  <r>
    <d v="2021-02-16T00:00:00"/>
    <s v="TOKO BOB-I"/>
    <s v="GULA"/>
    <n v="360"/>
    <n v="4320000"/>
  </r>
  <r>
    <d v="2021-02-16T00:00:00"/>
    <s v="TOKO AMI"/>
    <s v="DAGING"/>
    <n v="100"/>
    <n v="8616000"/>
  </r>
  <r>
    <d v="2021-02-16T00:00:00"/>
    <s v="TOKO BUNGUR"/>
    <s v="TEPUNG"/>
    <n v="100"/>
    <n v="887600"/>
  </r>
  <r>
    <d v="2021-02-16T00:00:00"/>
    <s v="TOKO BUNGUR"/>
    <s v="BERAS"/>
    <n v="1000"/>
    <n v="10569000"/>
  </r>
  <r>
    <d v="2021-02-16T00:00:00"/>
    <s v="TOKO DEWI AFRITA"/>
    <s v="BERAS"/>
    <n v="3000"/>
    <n v="32325000"/>
  </r>
  <r>
    <d v="2021-02-16T00:00:00"/>
    <s v="TOKO ENDANG HARTATI"/>
    <s v="BERAS"/>
    <n v="1000"/>
    <n v="10775000"/>
  </r>
  <r>
    <d v="2021-02-16T00:00:00"/>
    <s v="TOKO ENDANG SUSILAWATI"/>
    <s v="BERAS"/>
    <n v="6000"/>
    <n v="64650000"/>
  </r>
  <r>
    <d v="2021-02-16T00:00:00"/>
    <s v="TOKO KHET MEN"/>
    <s v="BERAS"/>
    <n v="500"/>
    <n v="5387500"/>
  </r>
  <r>
    <d v="2021-02-16T00:00:00"/>
    <s v="TOKO SARDIYANTO"/>
    <s v="BERAS"/>
    <n v="2000"/>
    <n v="21550000"/>
  </r>
  <r>
    <d v="2021-02-16T00:00:00"/>
    <s v="TOKO URAI INA KURNIA"/>
    <s v="BERAS"/>
    <n v="2000"/>
    <n v="21550000"/>
  </r>
  <r>
    <d v="2021-02-17T00:00:00"/>
    <s v="TOKO AMRAN"/>
    <s v="BERAS"/>
    <n v="300"/>
    <n v="3232500"/>
  </r>
  <r>
    <d v="2021-02-17T00:00:00"/>
    <s v="TOKO ASEP SAFRUDIN"/>
    <s v="BERAS"/>
    <n v="300"/>
    <n v="3232500"/>
  </r>
  <r>
    <d v="2021-02-17T00:00:00"/>
    <s v="TOKO EKO BUDI WINASIS"/>
    <s v="BERAS"/>
    <n v="320"/>
    <n v="3448000"/>
  </r>
  <r>
    <d v="2021-02-17T00:00:00"/>
    <s v="TOKO IDAWATI"/>
    <s v="BERAS"/>
    <n v="230"/>
    <n v="2478250"/>
  </r>
  <r>
    <d v="2021-02-17T00:00:00"/>
    <s v="TOKO IMIN"/>
    <s v="BERAS"/>
    <n v="3000"/>
    <n v="32325000"/>
  </r>
  <r>
    <d v="2021-02-17T00:00:00"/>
    <s v="TOKO MOMONG ALPINA"/>
    <s v="BERAS"/>
    <n v="500"/>
    <n v="5387500"/>
  </r>
  <r>
    <d v="2021-02-17T00:00:00"/>
    <s v="TOKO SOFIAN"/>
    <s v="BERAS"/>
    <n v="400"/>
    <n v="4310000"/>
  </r>
  <r>
    <d v="2021-02-17T00:00:00"/>
    <s v="TOKO HERI HARYANTO"/>
    <s v="BERAS"/>
    <n v="700"/>
    <n v="7542500"/>
  </r>
  <r>
    <d v="2021-02-17T00:00:00"/>
    <s v="TOKO JUANTI"/>
    <s v="BERAS"/>
    <n v="2000"/>
    <n v="21550000"/>
  </r>
  <r>
    <d v="2021-02-17T00:00:00"/>
    <s v="TOKO SIMON SUMARDI"/>
    <s v="BERAS"/>
    <n v="1000"/>
    <n v="10775000"/>
  </r>
  <r>
    <d v="2021-02-19T00:00:00"/>
    <s v="TOKO DEDES"/>
    <s v="BERAS"/>
    <n v="500"/>
    <n v="5284500"/>
  </r>
  <r>
    <d v="2021-02-19T00:00:00"/>
    <s v="TOKO DEDES"/>
    <s v="DAGING"/>
    <n v="100"/>
    <n v="8616000"/>
  </r>
  <r>
    <d v="2021-02-22T00:00:00"/>
    <s v="TOKO ARDO"/>
    <s v="DAGING"/>
    <n v="80"/>
    <n v="5612800"/>
  </r>
  <r>
    <d v="2021-02-22T00:00:00"/>
    <s v="WARUNG NAK ZIHAN"/>
    <s v="GULA"/>
    <n v="1120"/>
    <n v="13440000"/>
  </r>
  <r>
    <d v="2021-02-23T00:00:00"/>
    <s v="TOKO YAKOB"/>
    <s v="BERAS"/>
    <n v="6000"/>
    <n v="64650000"/>
  </r>
  <r>
    <d v="2021-02-23T00:00:00"/>
    <s v="TOKO DEWI AFRITA"/>
    <s v="BERAS"/>
    <n v="3500"/>
    <n v="37712500"/>
  </r>
  <r>
    <d v="2021-02-23T00:00:00"/>
    <s v="TOKO ENDANG SUSILAWATI"/>
    <s v="BERAS"/>
    <n v="6000"/>
    <n v="64650000"/>
  </r>
  <r>
    <d v="2021-02-23T00:00:00"/>
    <s v="TOKO GERRY GUMILANG"/>
    <s v="BERAS"/>
    <n v="2350"/>
    <n v="25321250"/>
  </r>
  <r>
    <d v="2021-02-23T00:00:00"/>
    <s v="TOKO ALEXANDER Y."/>
    <s v="BERAS"/>
    <n v="1250"/>
    <n v="13468750"/>
  </r>
  <r>
    <d v="2021-02-23T00:00:00"/>
    <s v="TOKO MIKA ERNAWATI"/>
    <s v="BERAS"/>
    <n v="500"/>
    <n v="5387500"/>
  </r>
  <r>
    <d v="2021-02-25T00:00:00"/>
    <s v="TOKO BU YULI"/>
    <s v="DAGING"/>
    <n v="80"/>
    <n v="6892800"/>
  </r>
  <r>
    <d v="2021-03-02T00:00:00"/>
    <s v="SAHABAT ANDA"/>
    <s v="DAGING"/>
    <n v="100"/>
    <n v="8616000"/>
  </r>
  <r>
    <d v="2021-03-02T00:00:00"/>
    <s v="TOKO RIZKI SAKYAH"/>
    <s v="GULA"/>
    <n v="200"/>
    <n v="2400000"/>
  </r>
  <r>
    <d v="2021-03-02T00:00:00"/>
    <s v="TOKO IRVA"/>
    <s v="BERAS"/>
    <n v="400"/>
    <n v="4227600"/>
  </r>
  <r>
    <d v="2021-03-02T00:00:00"/>
    <s v="TOKO NURDIAH"/>
    <s v="TEPUNG"/>
    <n v="100"/>
    <n v="887600"/>
  </r>
  <r>
    <d v="2021-03-03T00:00:00"/>
    <s v="TOKO BU YULI"/>
    <s v="BERAS"/>
    <n v="500"/>
    <n v="5284500"/>
  </r>
  <r>
    <d v="2021-03-03T00:00:00"/>
    <s v="TOKO BU YULI"/>
    <s v="DAGING"/>
    <n v="80"/>
    <n v="5612800"/>
  </r>
  <r>
    <d v="2021-03-09T00:00:00"/>
    <s v="TOKO MOMONG ALPINA"/>
    <s v="BERAS"/>
    <n v="320"/>
    <n v="3382080"/>
  </r>
  <r>
    <d v="2021-03-09T00:00:00"/>
    <s v="TOKO MOMONG ALPINA"/>
    <s v="DAGING"/>
    <n v="60"/>
    <n v="5169600"/>
  </r>
  <r>
    <d v="2021-03-09T00:00:00"/>
    <s v="TOKO MOMONG ALPINA"/>
    <s v="GULA"/>
    <n v="32"/>
    <n v="384000"/>
  </r>
  <r>
    <d v="2021-03-09T00:00:00"/>
    <s v="TOKO MOMONG ALPINA"/>
    <s v="TEPUNG"/>
    <n v="102"/>
    <n v="905352"/>
  </r>
  <r>
    <d v="2021-03-18T00:00:00"/>
    <s v="TOKO ABIZAR"/>
    <s v="BERAS"/>
    <n v="50"/>
    <n v="528450"/>
  </r>
  <r>
    <d v="2021-03-18T00:00:00"/>
    <s v="TOKO ABIZAR"/>
    <s v="DAGING"/>
    <n v="35"/>
    <n v="3015600"/>
  </r>
  <r>
    <d v="2021-03-18T00:00:00"/>
    <s v="TOKO FATHULLAH ZIKRI"/>
    <s v="BERAS"/>
    <n v="100"/>
    <n v="1056900"/>
  </r>
  <r>
    <d v="2021-03-18T00:00:00"/>
    <s v="TOKO FATHULLAH ZIKRI"/>
    <s v="GULA"/>
    <n v="200"/>
    <n v="2400000"/>
  </r>
  <r>
    <d v="2021-03-18T00:00:00"/>
    <s v="TOKO MAJU TERUS"/>
    <s v="DAGING"/>
    <n v="50"/>
    <n v="3508000"/>
  </r>
  <r>
    <d v="2021-03-19T00:00:00"/>
    <s v="TOKO USAHA"/>
    <s v="BERAS"/>
    <n v="100"/>
    <n v="1056900"/>
  </r>
  <r>
    <d v="2021-03-19T00:00:00"/>
    <s v="TOKO USAHA"/>
    <s v="DAGING"/>
    <n v="25"/>
    <n v="2154000"/>
  </r>
  <r>
    <d v="2021-03-19T00:00:00"/>
    <s v="TOKO MUNIR"/>
    <s v="BERAS"/>
    <n v="40"/>
    <n v="666400"/>
  </r>
  <r>
    <d v="2021-03-19T00:00:00"/>
    <s v="TOKO MUNIR"/>
    <s v="DAGING"/>
    <n v="40"/>
    <n v="2806400"/>
  </r>
  <r>
    <d v="2021-03-22T00:00:00"/>
    <s v="TOKO KOTABARU"/>
    <s v="BERAS"/>
    <n v="250"/>
    <n v="2642250"/>
  </r>
  <r>
    <d v="2021-03-22T00:00:00"/>
    <s v="TOKO KOTABARU"/>
    <s v="DAGING"/>
    <n v="10"/>
    <n v="701600"/>
  </r>
  <r>
    <d v="2021-03-22T00:00:00"/>
    <s v="TOKO BOB-I"/>
    <s v="BERAS"/>
    <n v="100"/>
    <n v="1056900"/>
  </r>
  <r>
    <d v="2021-03-22T00:00:00"/>
    <s v="TOKO BOB-I"/>
    <s v="GULA"/>
    <n v="200"/>
    <n v="2400000"/>
  </r>
  <r>
    <d v="2021-03-22T00:00:00"/>
    <s v="TOKO BERKAH DUA PUTRA"/>
    <s v="DAGING"/>
    <n v="20"/>
    <n v="1403200"/>
  </r>
  <r>
    <d v="2021-03-22T00:00:00"/>
    <s v="TOKO BERKAH DUA PUTRA"/>
    <s v="DAGING"/>
    <n v="25"/>
    <n v="2154000"/>
  </r>
  <r>
    <d v="2021-03-23T00:00:00"/>
    <s v="TOKO BUNGUR"/>
    <s v="DAGING"/>
    <n v="35"/>
    <n v="3015600"/>
  </r>
  <r>
    <d v="2021-03-23T00:00:00"/>
    <s v="TOKO BUNGUR"/>
    <s v="TEPUNG"/>
    <n v="50"/>
    <n v="443800"/>
  </r>
  <r>
    <d v="2021-03-23T00:00:00"/>
    <s v="TOKO SIDAK"/>
    <s v="DAGING"/>
    <n v="35"/>
    <n v="3015600"/>
  </r>
  <r>
    <d v="2021-03-23T00:00:00"/>
    <s v="TOKO SIDAK"/>
    <s v="TEPUNG"/>
    <n v="50"/>
    <n v="443800"/>
  </r>
  <r>
    <d v="2021-03-23T00:00:00"/>
    <s v="TOKO AQIL"/>
    <s v="DAGING"/>
    <n v="35"/>
    <n v="3015600"/>
  </r>
  <r>
    <d v="2021-03-23T00:00:00"/>
    <s v="TOKO AQIL"/>
    <s v="TEPUNG"/>
    <n v="38"/>
    <n v="337288"/>
  </r>
  <r>
    <d v="2021-03-23T00:00:00"/>
    <s v="TOKO SULASTRI AGUSTINI"/>
    <s v="DAGING"/>
    <n v="35"/>
    <n v="3015600"/>
  </r>
  <r>
    <d v="2021-03-23T00:00:00"/>
    <s v="TOKO SULASTRI AGUSTINI"/>
    <s v="TEPUNG"/>
    <n v="60"/>
    <n v="532560"/>
  </r>
  <r>
    <d v="2021-03-25T00:00:00"/>
    <s v="TOKO JERORA JAYA"/>
    <s v="GULA"/>
    <n v="160"/>
    <n v="1920000"/>
  </r>
  <r>
    <d v="2021-03-25T00:00:00"/>
    <s v="TOKO JERORA JAYA"/>
    <s v="DAGING"/>
    <n v="40"/>
    <n v="3446400"/>
  </r>
  <r>
    <d v="2021-03-25T00:00:00"/>
    <s v="TOKO AMI"/>
    <s v="DAGING"/>
    <n v="60"/>
    <n v="5169600"/>
  </r>
  <r>
    <d v="2021-03-25T00:00:00"/>
    <s v="KARUNIA"/>
    <s v="BERAS"/>
    <n v="150"/>
    <n v="1585350"/>
  </r>
  <r>
    <d v="2021-03-25T00:00:00"/>
    <s v="KARUNIA"/>
    <s v="DAGING"/>
    <n v="30"/>
    <n v="2104800"/>
  </r>
  <r>
    <d v="2021-03-26T00:00:00"/>
    <s v="TOKO ADELA"/>
    <s v="DAGING"/>
    <n v="50"/>
    <n v="4308000"/>
  </r>
  <r>
    <d v="2021-03-26T00:00:00"/>
    <s v="TOKO ANUGRAH"/>
    <s v="BERAS"/>
    <n v="500"/>
    <n v="5437500"/>
  </r>
  <r>
    <d v="2021-03-26T00:00:00"/>
    <s v="TOKO ANUGRAH"/>
    <s v="DAGING"/>
    <n v="40"/>
    <n v="2806400"/>
  </r>
  <r>
    <d v="2021-03-26T00:00:00"/>
    <s v="TOKO DWI RETNO SAMUDRO"/>
    <s v="BERAS"/>
    <n v="500"/>
    <n v="5437500"/>
  </r>
  <r>
    <d v="2021-03-26T00:00:00"/>
    <s v="TOKO DWI RETNO SAMUDRO"/>
    <s v="DAGING"/>
    <n v="60"/>
    <n v="4209600"/>
  </r>
  <r>
    <d v="2021-03-26T00:00:00"/>
    <s v="TOKO YUSMAN DABU"/>
    <s v="DAGING"/>
    <n v="50"/>
    <n v="4308000"/>
  </r>
  <r>
    <d v="2021-03-29T00:00:00"/>
    <s v="WARUNG NAK ZIHAN"/>
    <s v="BERAS"/>
    <n v="20"/>
    <n v="333200"/>
  </r>
  <r>
    <d v="2021-03-29T00:00:00"/>
    <s v="WARUNG NAK ZIHAN"/>
    <s v="GULA"/>
    <n v="120"/>
    <n v="1440000"/>
  </r>
  <r>
    <d v="2021-03-29T00:00:00"/>
    <s v="WARUNG NAK ZIHAN"/>
    <s v="DAGING"/>
    <n v="20"/>
    <n v="1403200"/>
  </r>
  <r>
    <d v="2021-03-30T00:00:00"/>
    <s v="TOKO HIDAYAH"/>
    <s v="BERAS"/>
    <n v="300"/>
    <n v="3262500"/>
  </r>
  <r>
    <d v="2021-04-05T00:00:00"/>
    <s v="TOKO SIDAK"/>
    <s v="DAGING"/>
    <n v="80"/>
    <n v="5852800"/>
  </r>
  <r>
    <d v="2021-04-06T00:00:00"/>
    <s v="TOKO BU YULI"/>
    <s v="BERAS"/>
    <n v="2000"/>
    <n v="20412000"/>
  </r>
  <r>
    <d v="2021-04-06T00:00:00"/>
    <s v="TOKO RIZKI SAKYAH"/>
    <s v="GULA"/>
    <n v="220"/>
    <n v="2640000"/>
  </r>
  <r>
    <d v="2021-04-06T00:00:00"/>
    <s v="TOKO RIZKI SAKYAH"/>
    <s v="BERAS"/>
    <n v="200"/>
    <n v="2041200"/>
  </r>
  <r>
    <d v="2021-04-06T00:00:00"/>
    <s v="TOKO RIZKI SAKYAH"/>
    <s v="TEPUNG"/>
    <n v="100"/>
    <n v="887600"/>
  </r>
  <r>
    <d v="2021-04-06T00:00:00"/>
    <s v="TOKO ENDANG SUSILAWATI"/>
    <s v="BERAS"/>
    <n v="5000"/>
    <n v="54375000"/>
  </r>
  <r>
    <d v="2021-04-06T00:00:00"/>
    <s v="TOKO YAKOB"/>
    <s v="BERAS"/>
    <n v="6000"/>
    <n v="65250000"/>
  </r>
  <r>
    <d v="2021-04-06T00:00:00"/>
    <s v="TOKO HERMANTO"/>
    <s v="BERAS"/>
    <n v="6000"/>
    <n v="65250000"/>
  </r>
  <r>
    <d v="2021-04-06T00:00:00"/>
    <s v="TOKO YULIANA"/>
    <s v="BERAS"/>
    <n v="1000"/>
    <n v="10875000"/>
  </r>
  <r>
    <d v="2021-04-06T00:00:00"/>
    <s v="TOKO GERRY GUMILANG"/>
    <s v="BERAS"/>
    <n v="1860"/>
    <n v="20227500"/>
  </r>
  <r>
    <d v="2021-04-07T00:00:00"/>
    <s v="TOKO KHET MEN"/>
    <s v="BERAS"/>
    <n v="1000"/>
    <n v="10875000"/>
  </r>
  <r>
    <d v="2021-04-07T00:00:00"/>
    <s v="TOKO ENDANG HARTATI"/>
    <s v="BERAS"/>
    <n v="1000"/>
    <n v="10875000"/>
  </r>
  <r>
    <d v="2021-04-07T00:00:00"/>
    <s v="TOKO FEBRIANTI INDAH LESTARI"/>
    <s v="BERAS"/>
    <n v="3500"/>
    <n v="38062500"/>
  </r>
  <r>
    <d v="2021-04-07T00:00:00"/>
    <s v="TOKO YENNI SUSILAWATI"/>
    <s v="BERAS"/>
    <n v="5000"/>
    <n v="54375000"/>
  </r>
  <r>
    <d v="2021-04-07T00:00:00"/>
    <s v="TOKO URAI INA KURNIA"/>
    <s v="BERAS"/>
    <n v="2000"/>
    <n v="21750000"/>
  </r>
  <r>
    <d v="2021-04-08T00:00:00"/>
    <s v="TOKO ALEXANDER Y."/>
    <s v="BERAS"/>
    <n v="2000"/>
    <n v="21750000"/>
  </r>
  <r>
    <d v="2021-04-08T00:00:00"/>
    <s v="TOKO AGUSTINUS"/>
    <s v="BERAS"/>
    <n v="1000"/>
    <n v="10875000"/>
  </r>
  <r>
    <d v="2021-04-08T00:00:00"/>
    <s v="TOKO APRIYANTO"/>
    <s v="BERAS"/>
    <n v="3930"/>
    <n v="42738750"/>
  </r>
  <r>
    <d v="2021-04-08T00:00:00"/>
    <s v="TOKO ARI YANTO"/>
    <s v="BERAS"/>
    <n v="1000"/>
    <n v="10875000"/>
  </r>
  <r>
    <d v="2021-04-08T00:00:00"/>
    <s v="TOKO NURFADILAH"/>
    <s v="BERAS"/>
    <n v="670"/>
    <n v="7286250"/>
  </r>
  <r>
    <d v="2021-04-08T00:00:00"/>
    <s v="TOKO SIMON SUMARDI"/>
    <s v="BERAS"/>
    <n v="1000"/>
    <n v="10875000"/>
  </r>
  <r>
    <d v="2021-04-08T00:00:00"/>
    <s v="TOKO MAJU TERUS"/>
    <s v="GULA"/>
    <n v="100"/>
    <n v="1200000"/>
  </r>
  <r>
    <d v="2021-04-08T00:00:00"/>
    <s v="TOKO MAJU TERUS"/>
    <s v="DAGING"/>
    <n v="60"/>
    <n v="4389600"/>
  </r>
  <r>
    <d v="2021-04-08T00:00:00"/>
    <s v="TOKO KINORA"/>
    <s v="BERAS"/>
    <n v="250"/>
    <n v="2718750"/>
  </r>
  <r>
    <d v="2021-04-08T00:00:00"/>
    <s v="TOKO KINORA"/>
    <s v="TEPUNG"/>
    <n v="120"/>
    <n v="1065120"/>
  </r>
  <r>
    <d v="2021-04-09T00:00:00"/>
    <s v="TOKO BERKAH DUA PUTRA"/>
    <s v="GULA"/>
    <n v="100"/>
    <n v="1200000"/>
  </r>
  <r>
    <d v="2021-04-09T00:00:00"/>
    <s v="TOKO BERKAH DUA PUTRA"/>
    <s v="DAGING"/>
    <n v="80"/>
    <n v="5852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E16D09-D7DA-4D65-AD95-B0F34C07ACE5}" name="PivotTable3" cacheId="6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7:D1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nama.barang" fld="1" subtotal="count" baseField="0" baseItem="0"/>
  </dataFields>
  <pivotHierarchies count="3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ngadaan &amp; Penjualan Barang Sembako.xlsx!Master_Barang">
        <x15:activeTabTopLevelEntity name="[Master_Barang]"/>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2797BF-2BD5-47BC-9356-E6D7B85046D6}" name="PivotTable4" cacheId="486" applyNumberFormats="0" applyBorderFormats="0" applyFontFormats="0" applyPatternFormats="0" applyAlignmentFormats="0" applyWidthHeightFormats="1" dataCaption="Values" tag="0867ec41-460c-4966-91b3-e54a3dd08ae1" updatedVersion="8" minRefreshableVersion="3" useAutoFormatting="1" subtotalHiddenItems="1" itemPrintTitles="1" createdVersion="8" indent="0" outline="1" outlineData="1" multipleFieldFilters="0">
  <location ref="D8:D13" firstHeaderRow="1" firstDataRow="1" firstDataCol="1"/>
  <pivotFields count="1">
    <pivotField axis="axisRow" allDrilled="1" subtotalTop="0" showAll="0" dataSourceSort="1" defaultSubtotal="0" defaultAttributeDrillState="1">
      <items count="4">
        <item x="0"/>
        <item x="1"/>
        <item x="2"/>
        <item x="3"/>
      </items>
    </pivotField>
  </pivotFields>
  <rowFields count="1">
    <field x="0"/>
  </rowFields>
  <rowItems count="5">
    <i>
      <x/>
    </i>
    <i>
      <x v="1"/>
    </i>
    <i>
      <x v="2"/>
    </i>
    <i>
      <x v="3"/>
    </i>
    <i t="grand">
      <x/>
    </i>
  </rowItems>
  <pivotHierarchies count="3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ngadaan &amp; Penjualan Barang Sembako.xlsx!Master_Calendar">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A6A396-6294-4133-93E1-1E1C9ABF398D}" name="PivotTable5" cacheId="711" applyNumberFormats="0" applyBorderFormats="0" applyFontFormats="0" applyPatternFormats="0" applyAlignmentFormats="0" applyWidthHeightFormats="1" dataCaption="Values" tag="bf4b4fcd-fb7f-4f91-bdb7-f362f55f5176" updatedVersion="8" minRefreshableVersion="3" useAutoFormatting="1" subtotalHiddenItems="1" itemPrintTitles="1" createdVersion="8" indent="0" outline="1" outlineData="1" multipleFieldFilters="0">
  <location ref="A63:C74" firstHeaderRow="0" firstDataRow="1" firstDataCol="1"/>
  <pivotFields count="5">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3" subtotal="count" baseField="0" baseItem="0"/>
    <dataField name="Sum of nominal" fld="1" baseField="0" baseItem="0"/>
  </dataFields>
  <pivotHierarchies count="3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penjualan_barang].[tanggal (Quarter)].&amp;[Qtr3]"/>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Pembeli]"/>
        <x15:activeTabTopLevelEntity name="[penjualan_barang]"/>
        <x15:activeTabTopLevelEntity name="[Master_Barang]"/>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AF5C7A-135C-4458-AAA3-253D33E222F0}" name="PivotTable8" cacheId="47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85:A86" firstHeaderRow="1" firstDataRow="1" firstDataCol="0"/>
  <pivotFields count="5">
    <pivotField numFmtId="14" showAll="0"/>
    <pivotField showAll="0"/>
    <pivotField showAll="0"/>
    <pivotField dataField="1" numFmtId="1" showAll="0"/>
    <pivotField numFmtId="164" showAll="0"/>
  </pivotFields>
  <rowItems count="1">
    <i/>
  </rowItems>
  <colItems count="1">
    <i/>
  </colItems>
  <dataFields count="1">
    <dataField name="Sum of kuantum_penjualan" fld="3" baseField="0" baseItem="0" numFmtId="165"/>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E32A43-8126-4153-8E46-7DB0E44F3025}" name="PivotTable9" cacheId="47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89:A90" firstHeaderRow="1" firstDataRow="1" firstDataCol="0"/>
  <pivotFields count="5">
    <pivotField numFmtId="14" showAll="0"/>
    <pivotField showAll="0"/>
    <pivotField showAll="0"/>
    <pivotField numFmtId="1" showAll="0"/>
    <pivotField dataField="1" numFmtId="164" showAll="0"/>
  </pivotFields>
  <rowItems count="1">
    <i/>
  </rowItems>
  <colItems count="1">
    <i/>
  </colItems>
  <dataFields count="1">
    <dataField name="Sum of nominal" fld="4" baseField="0" baseItem="0" numFmtId="166"/>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9B9E07-D406-4165-BA68-0A8BC5E0B8F9}" name="PivotTable6" cacheId="4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1:A82" firstHeaderRow="1" firstDataRow="1" firstDataCol="0"/>
  <pivotFields count="3">
    <pivotField numFmtId="14" showAll="0"/>
    <pivotField showAll="0"/>
    <pivotField dataField="1" numFmtId="1" showAll="0"/>
  </pivotFields>
  <rowItems count="1">
    <i/>
  </rowItems>
  <colItems count="1">
    <i/>
  </colItems>
  <dataFields count="1">
    <dataField name="Sum of kuantum_pengadaan" fld="2" baseField="0" baseItem="0" numFmtId="165"/>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FB1E3B-FACF-490C-9582-1018731BDD09}" name="PivotTable1" cacheId="4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A78" firstHeaderRow="1" firstDataRow="1" firstDataCol="0"/>
  <pivotFields count="1">
    <pivotField dataField="1" showAll="0"/>
  </pivotFields>
  <rowItems count="1">
    <i/>
  </rowItems>
  <colItems count="1">
    <i/>
  </colItems>
  <dataFields count="1">
    <dataField name="Count of nama.barang"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162C3D-4164-44B7-896E-5CC656EC17BE}" name="PivotTable3" cacheId="705" applyNumberFormats="0" applyBorderFormats="0" applyFontFormats="0" applyPatternFormats="0" applyAlignmentFormats="0" applyWidthHeightFormats="1" dataCaption="Values" tag="8b49859d-97d2-43d4-8e0c-a3f3fbcdae3a" updatedVersion="8" minRefreshableVersion="3" subtotalHiddenItems="1" itemPrintTitles="1" createdVersion="8" indent="0" outline="1" outlineData="1" multipleFieldFilters="0" chartFormat="11">
  <location ref="A25:C44"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19">
    <i>
      <x/>
    </i>
    <i r="1">
      <x/>
    </i>
    <i r="1">
      <x v="1"/>
    </i>
    <i r="1">
      <x v="2"/>
    </i>
    <i r="1">
      <x v="3"/>
    </i>
    <i r="1">
      <x v="4"/>
    </i>
    <i r="1">
      <x v="5"/>
    </i>
    <i r="1">
      <x v="6"/>
    </i>
    <i r="1">
      <x v="7"/>
    </i>
    <i r="1">
      <x v="8"/>
    </i>
    <i r="1">
      <x v="9"/>
    </i>
    <i r="1">
      <x v="10"/>
    </i>
    <i r="1">
      <x v="11"/>
    </i>
    <i>
      <x v="1"/>
    </i>
    <i r="1">
      <x/>
    </i>
    <i r="1">
      <x v="1"/>
    </i>
    <i r="1">
      <x v="2"/>
    </i>
    <i r="1">
      <x v="3"/>
    </i>
    <i t="grand">
      <x/>
    </i>
  </rowItems>
  <colFields count="1">
    <field x="-2"/>
  </colFields>
  <colItems count="2">
    <i>
      <x/>
    </i>
    <i i="1">
      <x v="1"/>
    </i>
  </colItems>
  <dataFields count="2">
    <dataField fld="3" subtotal="count" baseField="0" baseItem="0"/>
    <dataField fld="4" subtotal="count" baseField="0" baseItem="0"/>
  </dataFields>
  <chartFormats count="4">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Hierarchies count="3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penjualan_barang].[tanggal (Quarter)].&amp;[Qtr3]"/>
      </members>
    </pivotHierarchy>
    <pivotHierarchy dragToData="1"/>
    <pivotHierarchy dragToData="1"/>
    <pivotHierarchy dragToData="1"/>
    <pivotHierarchy dragToData="1"/>
    <pivotHierarchy dragToRow="0" dragToCol="0" dragToPage="0"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ngadaan_barang]"/>
        <x15:activeTabTopLevelEntity name="[Master_Calendar]"/>
        <x15:activeTabTopLevelEntity name="[penjualan_barang]"/>
        <x15:activeTabTopLevelEntity name="[Master_Bara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28959F-35A6-4324-8CC7-62B7A86E6F26}" name="PivotTable4" cacheId="708" applyNumberFormats="0" applyBorderFormats="0" applyFontFormats="0" applyPatternFormats="0" applyAlignmentFormats="0" applyWidthHeightFormats="1" dataCaption="Values" tag="2a71c48e-258d-4d51-a049-b54b5a93e9fe" updatedVersion="8" minRefreshableVersion="3" useAutoFormatting="1" subtotalHiddenItems="1" itemPrintTitles="1" createdVersion="8" indent="0" outline="1" outlineData="1" multipleFieldFilters="0" chartFormat="6">
  <location ref="A47:C53" firstHeaderRow="0" firstDataRow="1" firstDataCol="1"/>
  <pivotFields count="4">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3" subtotal="count" baseField="0" baseItem="0"/>
  </dataFields>
  <chartFormats count="4">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Hierarchies count="3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penjualan_barang].[tanggal (Quarter)].&amp;[Qtr3]"/>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njualan_barang]"/>
        <x15:activeTabTopLevelEntity name="[pengadaan_barang]"/>
        <x15:activeTabTopLevelEntity name="[Master_Barang]"/>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FFAA70-AB29-4E2A-AE50-8FCA1DCC47B4}" name="PivotTable2" cacheId="702" applyNumberFormats="0" applyBorderFormats="0" applyFontFormats="0" applyPatternFormats="0" applyAlignmentFormats="0" applyWidthHeightFormats="1" dataCaption="Values" tag="1e7bafec-b2c7-40f1-a1f8-12cb31cae629" updatedVersion="8" minRefreshableVersion="3" useAutoFormatting="1" subtotalHiddenItems="1" itemPrintTitles="1" createdVersion="8" indent="0" outline="1" outlineData="1" multipleFieldFilters="0" chartFormat="12">
  <location ref="A3:B22" firstHeaderRow="1"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2"/>
    <field x="3"/>
  </rowFields>
  <rowItems count="19">
    <i>
      <x/>
    </i>
    <i r="1">
      <x/>
    </i>
    <i r="1">
      <x v="1"/>
    </i>
    <i r="1">
      <x v="2"/>
    </i>
    <i r="1">
      <x v="3"/>
    </i>
    <i r="1">
      <x v="4"/>
    </i>
    <i r="1">
      <x v="5"/>
    </i>
    <i r="1">
      <x v="6"/>
    </i>
    <i r="1">
      <x v="7"/>
    </i>
    <i r="1">
      <x v="8"/>
    </i>
    <i r="1">
      <x v="9"/>
    </i>
    <i r="1">
      <x v="10"/>
    </i>
    <i r="1">
      <x v="11"/>
    </i>
    <i>
      <x v="1"/>
    </i>
    <i r="1">
      <x/>
    </i>
    <i r="1">
      <x v="1"/>
    </i>
    <i r="1">
      <x v="2"/>
    </i>
    <i r="1">
      <x v="3"/>
    </i>
    <i t="grand">
      <x/>
    </i>
  </rowItems>
  <colItems count="1">
    <i/>
  </colItems>
  <dataFields count="1">
    <dataField name="Sum of nominal" fld="0" baseField="0" baseItem="0"/>
  </dataFields>
  <formats count="1">
    <format dxfId="5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penjualan_barang].[tanggal (Quarter)].&amp;[Qtr3]"/>
      </members>
    </pivotHierarchy>
    <pivotHierarchy dragToData="1"/>
    <pivotHierarchy dragToData="1"/>
    <pivotHierarchy dragToData="1"/>
    <pivotHierarchy dragToData="1"/>
    <pivotHierarchy dragToRow="0" dragToCol="0" dragToPage="0"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njualan_barang]"/>
        <x15:activeTabTopLevelEntity name="[Master_Barang]"/>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FCE9D8-E757-4562-8898-B20C9DB42B96}" name="PivotTable2" cacheId="699" applyNumberFormats="0" applyBorderFormats="0" applyFontFormats="0" applyPatternFormats="0" applyAlignmentFormats="0" applyWidthHeightFormats="1" dataCaption="Values" tag="24ea1f49-44d8-434a-92c6-32ab53aecd67" updatedVersion="8" minRefreshableVersion="3" useAutoFormatting="1" subtotalHiddenItems="1" rowGrandTotals="0" colGrandTotals="0" itemPrintTitles="1" createdVersion="8" indent="0" compact="0" compactData="0" multipleFieldFilters="0">
  <location ref="R12:T22" firstHeaderRow="0" firstDataRow="1" firstDataCol="1"/>
  <pivotFields count="5">
    <pivotField name="Customer" axis="axisRow"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name="Kuantum" fld="3" subtotal="count" baseField="0" baseItem="0"/>
    <dataField name="Omset" fld="1" baseField="0" baseItem="5"/>
  </dataFields>
  <formats count="2">
    <format dxfId="60">
      <pivotArea outline="0" collapsedLevelsAreSubtotals="1" fieldPosition="0"/>
    </format>
    <format dxfId="59">
      <pivotArea outline="0" fieldPosition="0">
        <references count="1">
          <reference field="4294967294" count="1" selected="0">
            <x v="0"/>
          </reference>
        </references>
      </pivotArea>
    </format>
  </formats>
  <pivotHierarchies count="31">
    <pivotHierarchy multipleItemSelectionAllowed="1" dragToData="1"/>
    <pivotHierarchy dragToData="1"/>
    <pivotHierarchy multipleItemSelectionAllowed="1" dragToData="1"/>
    <pivotHierarchy multipleItemSelectionAllowed="1" dragToData="1"/>
    <pivotHierarchy dragToData="1"/>
    <pivotHierarchy dragToData="1" caption="Customer"/>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penjualan_barang].[tanggal (Quarter)].&amp;[Qtr3]"/>
      </members>
    </pivotHierarchy>
    <pivotHierarchy dragToData="1"/>
    <pivotHierarchy dragToData="1"/>
    <pivotHierarchy dragToData="1"/>
    <pivotHierarchy dragToData="1" caption="Omset"/>
    <pivotHierarchy dragToData="1"/>
    <pivotHierarchy dragToData="1" caption="Kuantum"/>
    <pivotHierarchy dragToData="1"/>
    <pivotHierarchy dragToRow="0" dragToCol="0" dragToPage="0" dragToData="1"/>
    <pivotHierarchy dragToRow="0" dragToCol="0" dragToPage="0" dragToData="1" caption="Kuantu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Pembeli]"/>
        <x15:activeTabTopLevelEntity name="[penjualan_barang]"/>
        <x15:activeTabTopLevelEntity name="[Master_Barang]"/>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C36F6782-9C84-4CD6-898C-FFD5C6F7A825}" autoFormatId="16" applyNumberFormats="0" applyBorderFormats="0" applyFontFormats="0" applyPatternFormats="0" applyAlignmentFormats="0" applyWidthHeightFormats="0">
  <queryTableRefresh nextId="5">
    <queryTableFields count="3">
      <queryTableField id="2" name="tanggal" tableColumnId="2"/>
      <queryTableField id="3" name="nama.barang" tableColumnId="3"/>
      <queryTableField id="4" name="kuantum"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E3B21925-F013-4E2D-99E6-252460645CBB}" autoFormatId="16" applyNumberFormats="0" applyBorderFormats="0" applyFontFormats="0" applyPatternFormats="0" applyAlignmentFormats="0" applyWidthHeightFormats="0">
  <queryTableRefresh nextId="7">
    <queryTableFields count="5">
      <queryTableField id="2" name="tanggal" tableColumnId="2"/>
      <queryTableField id="3" name="nama.pembeli" tableColumnId="3"/>
      <queryTableField id="4" name="nama.barang" tableColumnId="4"/>
      <queryTableField id="5" name="kuantum" tableColumnId="5"/>
      <queryTableField id="6" name="nominal"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341998B6-CA9E-43C6-AE5F-BDA0B76C2EDC}" autoFormatId="16" applyNumberFormats="0" applyBorderFormats="0" applyFontFormats="0" applyPatternFormats="0" applyAlignmentFormats="0" applyWidthHeightFormats="0">
  <queryTableRefresh nextId="2">
    <queryTableFields count="1">
      <queryTableField id="1" name="nama.barang"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AFD8EB90-C317-4D36-8A2C-39E336CD647F}" autoFormatId="16" applyNumberFormats="0" applyBorderFormats="0" applyFontFormats="0" applyPatternFormats="0" applyAlignmentFormats="0" applyWidthHeightFormats="0">
  <queryTableRefresh nextId="2">
    <queryTableFields count="1">
      <queryTableField id="1" name="nama.pembeli"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2DE34DFB-F15B-4576-82E1-FBFB21160C91}" autoFormatId="16" applyNumberFormats="0" applyBorderFormats="0" applyFontFormats="0" applyPatternFormats="0" applyAlignmentFormats="0" applyWidthHeightFormats="0">
  <queryTableRefresh nextId="2">
    <queryTableFields count="1">
      <queryTableField id="1" name="tanggal"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barang" xr10:uid="{039E8286-179B-4E56-82AD-6629BB516FB1}" sourceName="[Master_Barang].[nama.barang]">
  <pivotTables>
    <pivotTable tabId="13" name="PivotTable3"/>
    <pivotTable tabId="15" name="PivotTable2"/>
    <pivotTable tabId="5" name="PivotTable2"/>
    <pivotTable tabId="5" name="PivotTable3"/>
    <pivotTable tabId="5" name="PivotTable4"/>
    <pivotTable tabId="5" name="PivotTable5"/>
  </pivotTables>
  <data>
    <olap pivotCacheId="1222230977">
      <levels count="2">
        <level uniqueName="[Master_Barang].[nama.barang].[(All)]" sourceCaption="(All)" count="0"/>
        <level uniqueName="[Master_Barang].[nama.barang].[nama.barang]" sourceCaption="nama.barang" count="5">
          <ranges>
            <range startItem="0">
              <i n="[Master_Barang].[nama.barang].&amp;[BERAS]" c="BERAS"/>
              <i n="[Master_Barang].[nama.barang].&amp;[DAGING]" c="DAGING"/>
              <i n="[Master_Barang].[nama.barang].&amp;[GULA]" c="GULA"/>
              <i n="[Master_Barang].[nama.barang].&amp;[MIGOR]" c="MIGOR"/>
              <i n="[Master_Barang].[nama.barang].&amp;[TEPUNG]" c="TEPUNG"/>
            </range>
          </ranges>
        </level>
      </levels>
      <selections count="1">
        <selection n="[Master_Barang].[nama.bara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__Quarter" xr10:uid="{19C4F759-5B37-4513-8912-CDA291D57D02}" sourceName="[Master_Calendar].[tanggal (Quarter)]">
  <pivotTables>
    <pivotTable tabId="9" name="PivotTable4"/>
    <pivotTable tabId="15" name="PivotTable2"/>
    <pivotTable tabId="13" name="PivotTable3"/>
    <pivotTable tabId="5" name="PivotTable2"/>
    <pivotTable tabId="5" name="PivotTable3"/>
    <pivotTable tabId="5" name="PivotTable4"/>
    <pivotTable tabId="5" name="PivotTable5"/>
  </pivotTables>
  <data>
    <olap pivotCacheId="1222230977">
      <levels count="2">
        <level uniqueName="[Master_Calendar].[tanggal (Quarter)].[(All)]" sourceCaption="(All)" count="0"/>
        <level uniqueName="[Master_Calendar].[tanggal (Quarter)].[tanggal (Quarter)]" sourceCaption="tanggal (Quarter)" count="4">
          <ranges>
            <range startItem="0">
              <i n="[Master_Calendar].[tanggal (Quarter)].&amp;[Qtr1]" c="Qtr1"/>
              <i n="[Master_Calendar].[tanggal (Quarter)].&amp;[Qtr2]" c="Qtr2"/>
              <i n="[Master_Calendar].[tanggal (Quarter)].&amp;[Qtr3]" c="Qtr3"/>
              <i n="[Master_Calendar].[tanggal (Quarter)].&amp;[Qtr4]" c="Qtr4"/>
            </range>
          </ranges>
        </level>
      </levels>
      <selections count="1">
        <selection n="[Master_Calendar].[tanggal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__Year" xr10:uid="{0161FDCE-6881-431E-AC26-8926A11E6C3C}" sourceName="[Master_Calendar].[tanggal (Year)]">
  <pivotTables>
    <pivotTable tabId="5" name="PivotTable2"/>
    <pivotTable tabId="5" name="PivotTable3"/>
    <pivotTable tabId="5" name="PivotTable4"/>
    <pivotTable tabId="5" name="PivotTable5"/>
    <pivotTable tabId="15" name="PivotTable2"/>
  </pivotTables>
  <data>
    <olap pivotCacheId="781707980">
      <levels count="2">
        <level uniqueName="[Master_Calendar].[tanggal (Year)].[(All)]" sourceCaption="(All)" count="0"/>
        <level uniqueName="[Master_Calendar].[tanggal (Year)].[tanggal (Year)]" sourceCaption="tanggal (Year)" count="8">
          <ranges>
            <range startItem="0">
              <i n="[Master_Calendar].[tanggal (Year)].&amp;[2020]" c="2020"/>
              <i n="[Master_Calendar].[tanggal (Year)].&amp;[2021]" c="2021"/>
              <i n="[Master_Calendar].[tanggal (Year)].&amp;[2019]" c="2019" nd="1"/>
              <i n="[Master_Calendar].[tanggal (Year)].&amp;[2022]" c="2022" nd="1"/>
              <i n="[Master_Calendar].[tanggal (Year)].&amp;[2023]" c="2023" nd="1"/>
              <i n="[Master_Calendar].[tanggal (Year)].&amp;[2024]" c="2024" nd="1"/>
              <i n="[Master_Calendar].[tanggal (Year)].&amp;[2025]" c="2025" nd="1"/>
              <i n="[Master_Calendar].[tanggal (Year)].&amp;[2026]" c="2026" nd="1"/>
            </range>
          </ranges>
        </level>
      </levels>
      <selections count="1">
        <selection n="[Master_Calendar].[tanggal (Year)].[All]"/>
      </selections>
    </olap>
  </data>
  <extLst>
    <x:ext xmlns:x15="http://schemas.microsoft.com/office/spreadsheetml/2010/11/main" uri="{470722E0-AACD-4C17-9CDC-17EF765DBC7E}">
      <x15:slicerCacheHideItemsWithNoData count="1">
        <x15:slicerCacheOlapLevelName uniqueName="[Master_Calendar].[tanggal (Year)].[tanggal (Year)]" count="6"/>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barang" xr10:uid="{80D6D07C-C04F-45D2-8960-997EFC5EAA02}" cache="Slicer_nama.barang" caption="nama.barang"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barang 1" xr10:uid="{0FF134E9-E2EC-43C8-92F8-7045AAEB66C0}" cache="Slicer_nama.barang" caption="nama.barang" columnCount="2" level="1" rowHeight="234950"/>
  <slicer name="tanggal (Quarter) 1" xr10:uid="{681A13CA-9A3A-4F22-BEE7-87A4AB8BBBCD}" cache="Slicer_tanggal__Quarter" caption="Quarter" columnCount="2" level="1" rowHeight="234950"/>
  <slicer name="tanggal (Year)" xr10:uid="{E2249920-7CD5-489B-AE3A-43B69532E9D8}" cache="Slicer_tanggal__Year" caption="Tahu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764321-E696-4668-AD66-3B2498A76E4A}" name="pengadaan_barang" displayName="pengadaan_barang" ref="A1:C64" tableType="queryTable" totalsRowShown="0">
  <autoFilter ref="A1:C64" xr:uid="{48764321-E696-4668-AD66-3B2498A76E4A}"/>
  <tableColumns count="3">
    <tableColumn id="2" xr3:uid="{D58FFC8D-952C-460B-85C7-D9EFE678C7DF}" uniqueName="2" name="tanggal" queryTableFieldId="2" dataDxfId="46"/>
    <tableColumn id="3" xr3:uid="{874FE22C-8008-48EC-893B-8EF5B10B5A43}" uniqueName="3" name="nama.barang" queryTableFieldId="3" dataDxfId="58"/>
    <tableColumn id="4" xr3:uid="{2A156446-744C-4124-870B-4395589415F6}" uniqueName="4" name="kuantum" queryTableFieldId="4" dataDxfId="4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0661DF-DAA7-4595-8B84-0B9F01A8B5E8}" name="penjualan_barang" displayName="penjualan_barang" ref="A1:E1290" tableType="queryTable" totalsRowShown="0">
  <autoFilter ref="A1:E1290" xr:uid="{E80661DF-DAA7-4595-8B84-0B9F01A8B5E8}"/>
  <tableColumns count="5">
    <tableColumn id="2" xr3:uid="{E1080E99-EED4-494C-8006-BE3A1C5250D0}" uniqueName="2" name="tanggal" queryTableFieldId="2" dataDxfId="44"/>
    <tableColumn id="3" xr3:uid="{545B9EA5-822A-4B7F-BD90-E3B1D856790A}" uniqueName="3" name="nama.pembeli" queryTableFieldId="3" dataDxfId="57"/>
    <tableColumn id="4" xr3:uid="{ABB790BF-C04E-4F55-B8CC-F8FA372D3B39}" uniqueName="4" name="nama.barang" queryTableFieldId="4" dataDxfId="56"/>
    <tableColumn id="5" xr3:uid="{A031446B-7481-43D1-AFAD-F7ECB46837A4}" uniqueName="5" name="kuantum" queryTableFieldId="5" dataDxfId="43"/>
    <tableColumn id="6" xr3:uid="{3CC290F3-D840-4CFE-A00A-2AC9DEEEE52A}" uniqueName="6" name="nominal" queryTableFieldId="6" dataDxfId="4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DDA548-6EEC-4ACC-819A-9559C40712A7}" name="Master_Barang" displayName="Master_Barang" ref="A1:A6" tableType="queryTable" totalsRowShown="0">
  <autoFilter ref="A1:A6" xr:uid="{FBDDA548-6EEC-4ACC-819A-9559C40712A7}"/>
  <tableColumns count="1">
    <tableColumn id="1" xr3:uid="{833ADFE8-01ED-4349-8332-ECCFE456034F}" uniqueName="1" name="nama.barang" queryTableFieldId="1" dataDxfId="5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FD7D745-7027-40BB-82EB-BF395380326A}" name="Master_Pembeli" displayName="Master_Pembeli" ref="A1:A172" tableType="queryTable" totalsRowShown="0">
  <autoFilter ref="A1:A172" xr:uid="{BFD7D745-7027-40BB-82EB-BF395380326A}"/>
  <tableColumns count="1">
    <tableColumn id="1" xr3:uid="{0E593FD8-9AE4-4466-92E2-8824A7EE1A1A}" uniqueName="1" name="nama.pembeli" queryTableFieldId="1" dataDxfId="5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0C7977-A8AC-4540-AAC3-1602555112ED}" name="Master_Calendar" displayName="Master_Calendar" ref="A1:A2792" tableType="queryTable" totalsRowShown="0">
  <autoFilter ref="A1:A2792" xr:uid="{DC0C7977-A8AC-4540-AAC3-1602555112ED}"/>
  <tableColumns count="1">
    <tableColumn id="1" xr3:uid="{F8153B38-FBCB-4B39-BD8C-4042E861E623}" uniqueName="1" name="tanggal" queryTableFieldId="1" dataDxfId="4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3F19B-0173-4133-BAB9-1F3B28B4CF67}">
  <dimension ref="A1:C64"/>
  <sheetViews>
    <sheetView workbookViewId="0">
      <selection activeCell="C1" sqref="C1"/>
    </sheetView>
  </sheetViews>
  <sheetFormatPr defaultRowHeight="14.4" x14ac:dyDescent="0.3"/>
  <cols>
    <col min="1" max="1" width="10.5546875" style="1" bestFit="1" customWidth="1"/>
    <col min="2" max="2" width="14.44140625" bestFit="1" customWidth="1"/>
    <col min="3" max="3" width="10.88671875" style="2" bestFit="1" customWidth="1"/>
    <col min="4" max="4" width="10.88671875" bestFit="1" customWidth="1"/>
  </cols>
  <sheetData>
    <row r="1" spans="1:3" x14ac:dyDescent="0.3">
      <c r="A1" s="1" t="s">
        <v>0</v>
      </c>
      <c r="B1" t="s">
        <v>1</v>
      </c>
      <c r="C1" s="2" t="s">
        <v>2</v>
      </c>
    </row>
    <row r="2" spans="1:3" x14ac:dyDescent="0.3">
      <c r="A2" s="1">
        <v>43980</v>
      </c>
      <c r="B2" t="s">
        <v>3</v>
      </c>
      <c r="C2" s="2">
        <v>100000</v>
      </c>
    </row>
    <row r="3" spans="1:3" x14ac:dyDescent="0.3">
      <c r="A3" s="1">
        <v>44019</v>
      </c>
      <c r="B3" t="s">
        <v>3</v>
      </c>
      <c r="C3" s="2">
        <v>97950</v>
      </c>
    </row>
    <row r="4" spans="1:3" x14ac:dyDescent="0.3">
      <c r="A4" s="1">
        <v>44028</v>
      </c>
      <c r="B4" t="s">
        <v>3</v>
      </c>
      <c r="C4" s="2">
        <v>2050</v>
      </c>
    </row>
    <row r="5" spans="1:3" x14ac:dyDescent="0.3">
      <c r="A5" s="1">
        <v>44147</v>
      </c>
      <c r="B5" t="s">
        <v>3</v>
      </c>
      <c r="C5" s="2">
        <v>14000</v>
      </c>
    </row>
    <row r="6" spans="1:3" x14ac:dyDescent="0.3">
      <c r="A6" s="1">
        <v>44189</v>
      </c>
      <c r="B6" t="s">
        <v>3</v>
      </c>
      <c r="C6" s="2">
        <v>8000</v>
      </c>
    </row>
    <row r="7" spans="1:3" x14ac:dyDescent="0.3">
      <c r="A7" s="1">
        <v>43985</v>
      </c>
      <c r="B7" t="s">
        <v>3</v>
      </c>
      <c r="C7" s="2">
        <v>100000</v>
      </c>
    </row>
    <row r="8" spans="1:3" x14ac:dyDescent="0.3">
      <c r="A8" s="1">
        <v>43887</v>
      </c>
      <c r="B8" t="s">
        <v>4</v>
      </c>
      <c r="C8" s="2">
        <v>164</v>
      </c>
    </row>
    <row r="9" spans="1:3" x14ac:dyDescent="0.3">
      <c r="A9" s="1">
        <v>43887</v>
      </c>
      <c r="B9" t="s">
        <v>4</v>
      </c>
      <c r="C9" s="2">
        <v>8500</v>
      </c>
    </row>
    <row r="10" spans="1:3" x14ac:dyDescent="0.3">
      <c r="A10" s="1">
        <v>43984</v>
      </c>
      <c r="B10" t="s">
        <v>4</v>
      </c>
      <c r="C10" s="2">
        <v>150000</v>
      </c>
    </row>
    <row r="11" spans="1:3" x14ac:dyDescent="0.3">
      <c r="A11" s="1">
        <v>44005</v>
      </c>
      <c r="B11" t="s">
        <v>4</v>
      </c>
      <c r="C11" s="2">
        <v>300</v>
      </c>
    </row>
    <row r="12" spans="1:3" x14ac:dyDescent="0.3">
      <c r="A12" s="1">
        <v>44008</v>
      </c>
      <c r="B12" t="s">
        <v>4</v>
      </c>
      <c r="C12" s="2">
        <v>50000</v>
      </c>
    </row>
    <row r="13" spans="1:3" x14ac:dyDescent="0.3">
      <c r="A13" s="1">
        <v>44011</v>
      </c>
      <c r="B13" t="s">
        <v>4</v>
      </c>
      <c r="C13" s="2">
        <v>75000</v>
      </c>
    </row>
    <row r="14" spans="1:3" x14ac:dyDescent="0.3">
      <c r="A14" s="1">
        <v>44012</v>
      </c>
      <c r="B14" t="s">
        <v>4</v>
      </c>
      <c r="C14" s="2">
        <v>50000</v>
      </c>
    </row>
    <row r="15" spans="1:3" x14ac:dyDescent="0.3">
      <c r="A15" s="1">
        <v>44033</v>
      </c>
      <c r="B15" t="s">
        <v>4</v>
      </c>
      <c r="C15" s="2">
        <v>75</v>
      </c>
    </row>
    <row r="16" spans="1:3" x14ac:dyDescent="0.3">
      <c r="A16" s="1">
        <v>44041</v>
      </c>
      <c r="B16" t="s">
        <v>4</v>
      </c>
      <c r="C16" s="2">
        <v>50000</v>
      </c>
    </row>
    <row r="17" spans="1:3" x14ac:dyDescent="0.3">
      <c r="A17" s="1">
        <v>44049</v>
      </c>
      <c r="B17" t="s">
        <v>4</v>
      </c>
      <c r="C17" s="2">
        <v>25000</v>
      </c>
    </row>
    <row r="18" spans="1:3" x14ac:dyDescent="0.3">
      <c r="A18" s="1">
        <v>44057</v>
      </c>
      <c r="B18" t="s">
        <v>4</v>
      </c>
      <c r="C18" s="2">
        <v>74</v>
      </c>
    </row>
    <row r="19" spans="1:3" x14ac:dyDescent="0.3">
      <c r="A19" s="1">
        <v>44067</v>
      </c>
      <c r="B19" t="s">
        <v>4</v>
      </c>
      <c r="C19" s="2">
        <v>25000</v>
      </c>
    </row>
    <row r="20" spans="1:3" x14ac:dyDescent="0.3">
      <c r="A20" s="1">
        <v>44070</v>
      </c>
      <c r="B20" t="s">
        <v>4</v>
      </c>
      <c r="C20" s="2">
        <v>50000</v>
      </c>
    </row>
    <row r="21" spans="1:3" x14ac:dyDescent="0.3">
      <c r="A21" s="1">
        <v>44088</v>
      </c>
      <c r="B21" t="s">
        <v>4</v>
      </c>
      <c r="C21" s="2">
        <v>50000</v>
      </c>
    </row>
    <row r="22" spans="1:3" x14ac:dyDescent="0.3">
      <c r="A22" s="1">
        <v>44091</v>
      </c>
      <c r="B22" t="s">
        <v>4</v>
      </c>
      <c r="C22" s="2">
        <v>100</v>
      </c>
    </row>
    <row r="23" spans="1:3" x14ac:dyDescent="0.3">
      <c r="A23" s="1">
        <v>44127</v>
      </c>
      <c r="B23" t="s">
        <v>4</v>
      </c>
      <c r="C23" s="2">
        <v>25</v>
      </c>
    </row>
    <row r="24" spans="1:3" x14ac:dyDescent="0.3">
      <c r="A24" s="1">
        <v>44128</v>
      </c>
      <c r="B24" t="s">
        <v>4</v>
      </c>
      <c r="C24" s="2">
        <v>50</v>
      </c>
    </row>
    <row r="25" spans="1:3" x14ac:dyDescent="0.3">
      <c r="A25" s="1">
        <v>44130</v>
      </c>
      <c r="B25" t="s">
        <v>4</v>
      </c>
      <c r="C25" s="2">
        <v>50000</v>
      </c>
    </row>
    <row r="26" spans="1:3" x14ac:dyDescent="0.3">
      <c r="A26" s="1">
        <v>44089</v>
      </c>
      <c r="B26" t="s">
        <v>5</v>
      </c>
      <c r="C26" s="2">
        <v>3000</v>
      </c>
    </row>
    <row r="27" spans="1:3" x14ac:dyDescent="0.3">
      <c r="A27" s="1">
        <v>43851</v>
      </c>
      <c r="B27" t="s">
        <v>5</v>
      </c>
      <c r="C27" s="2">
        <v>4000</v>
      </c>
    </row>
    <row r="28" spans="1:3" x14ac:dyDescent="0.3">
      <c r="A28" s="1">
        <v>43907</v>
      </c>
      <c r="B28" t="s">
        <v>5</v>
      </c>
      <c r="C28" s="2">
        <v>4000</v>
      </c>
    </row>
    <row r="29" spans="1:3" x14ac:dyDescent="0.3">
      <c r="A29" s="1">
        <v>44194</v>
      </c>
      <c r="B29" t="s">
        <v>5</v>
      </c>
      <c r="C29" s="2">
        <v>3000</v>
      </c>
    </row>
    <row r="30" spans="1:3" x14ac:dyDescent="0.3">
      <c r="A30" s="1">
        <v>44111</v>
      </c>
      <c r="B30" t="s">
        <v>6</v>
      </c>
      <c r="C30" s="2">
        <v>4000</v>
      </c>
    </row>
    <row r="31" spans="1:3" x14ac:dyDescent="0.3">
      <c r="A31" s="1">
        <v>44147</v>
      </c>
      <c r="B31" t="s">
        <v>6</v>
      </c>
      <c r="C31" s="2">
        <v>1500</v>
      </c>
    </row>
    <row r="32" spans="1:3" x14ac:dyDescent="0.3">
      <c r="A32" s="1">
        <v>43962</v>
      </c>
      <c r="B32" t="s">
        <v>7</v>
      </c>
      <c r="C32" s="2">
        <v>1000</v>
      </c>
    </row>
    <row r="33" spans="1:3" x14ac:dyDescent="0.3">
      <c r="A33" s="1">
        <v>44022</v>
      </c>
      <c r="B33" t="s">
        <v>7</v>
      </c>
      <c r="C33" s="2">
        <v>1000</v>
      </c>
    </row>
    <row r="34" spans="1:3" x14ac:dyDescent="0.3">
      <c r="A34" s="1">
        <v>44091</v>
      </c>
      <c r="B34" t="s">
        <v>7</v>
      </c>
      <c r="C34" s="2">
        <v>2000</v>
      </c>
    </row>
    <row r="35" spans="1:3" x14ac:dyDescent="0.3">
      <c r="A35" s="1">
        <v>43858</v>
      </c>
      <c r="B35" t="s">
        <v>4</v>
      </c>
      <c r="C35" s="2">
        <v>75000</v>
      </c>
    </row>
    <row r="36" spans="1:3" x14ac:dyDescent="0.3">
      <c r="A36" s="1">
        <v>43871</v>
      </c>
      <c r="B36" t="s">
        <v>4</v>
      </c>
      <c r="C36" s="2">
        <v>100000</v>
      </c>
    </row>
    <row r="37" spans="1:3" x14ac:dyDescent="0.3">
      <c r="A37" s="1">
        <v>43900</v>
      </c>
      <c r="B37" t="s">
        <v>4</v>
      </c>
      <c r="C37" s="2">
        <v>24000</v>
      </c>
    </row>
    <row r="38" spans="1:3" x14ac:dyDescent="0.3">
      <c r="A38" s="1">
        <v>43902</v>
      </c>
      <c r="B38" t="s">
        <v>4</v>
      </c>
      <c r="C38" s="2">
        <v>43100</v>
      </c>
    </row>
    <row r="39" spans="1:3" x14ac:dyDescent="0.3">
      <c r="A39" s="1">
        <v>43907</v>
      </c>
      <c r="B39" t="s">
        <v>4</v>
      </c>
      <c r="C39" s="2">
        <v>50000</v>
      </c>
    </row>
    <row r="40" spans="1:3" x14ac:dyDescent="0.3">
      <c r="A40" s="1">
        <v>43909</v>
      </c>
      <c r="B40" t="s">
        <v>4</v>
      </c>
      <c r="C40" s="2">
        <v>17000</v>
      </c>
    </row>
    <row r="41" spans="1:3" x14ac:dyDescent="0.3">
      <c r="A41" s="1">
        <v>43913</v>
      </c>
      <c r="B41" t="s">
        <v>4</v>
      </c>
      <c r="C41" s="2">
        <v>80</v>
      </c>
    </row>
    <row r="42" spans="1:3" x14ac:dyDescent="0.3">
      <c r="A42" s="1">
        <v>43929</v>
      </c>
      <c r="B42" t="s">
        <v>4</v>
      </c>
      <c r="C42" s="2">
        <v>50000</v>
      </c>
    </row>
    <row r="43" spans="1:3" x14ac:dyDescent="0.3">
      <c r="A43" s="1">
        <v>43948</v>
      </c>
      <c r="B43" t="s">
        <v>4</v>
      </c>
      <c r="C43" s="2">
        <v>160</v>
      </c>
    </row>
    <row r="44" spans="1:3" x14ac:dyDescent="0.3">
      <c r="A44" s="1">
        <v>43954</v>
      </c>
      <c r="B44" t="s">
        <v>4</v>
      </c>
      <c r="C44" s="2">
        <v>75000</v>
      </c>
    </row>
    <row r="45" spans="1:3" x14ac:dyDescent="0.3">
      <c r="A45" s="1">
        <v>43955</v>
      </c>
      <c r="B45" t="s">
        <v>4</v>
      </c>
      <c r="C45" s="2">
        <v>50000</v>
      </c>
    </row>
    <row r="46" spans="1:3" x14ac:dyDescent="0.3">
      <c r="A46" s="1">
        <v>43956</v>
      </c>
      <c r="B46" t="s">
        <v>4</v>
      </c>
      <c r="C46" s="2">
        <v>75000</v>
      </c>
    </row>
    <row r="47" spans="1:3" x14ac:dyDescent="0.3">
      <c r="A47" s="1">
        <v>43969</v>
      </c>
      <c r="B47" t="s">
        <v>4</v>
      </c>
      <c r="C47" s="2">
        <v>150000</v>
      </c>
    </row>
    <row r="48" spans="1:3" x14ac:dyDescent="0.3">
      <c r="A48" s="1">
        <v>44128</v>
      </c>
      <c r="B48" t="s">
        <v>4</v>
      </c>
      <c r="C48" s="2">
        <v>50000</v>
      </c>
    </row>
    <row r="49" spans="1:3" x14ac:dyDescent="0.3">
      <c r="A49" s="1">
        <v>44154</v>
      </c>
      <c r="B49" t="s">
        <v>4</v>
      </c>
      <c r="C49" s="2">
        <v>50000</v>
      </c>
    </row>
    <row r="50" spans="1:3" x14ac:dyDescent="0.3">
      <c r="A50" s="1">
        <v>44156</v>
      </c>
      <c r="B50" t="s">
        <v>4</v>
      </c>
      <c r="C50" s="2">
        <v>50000</v>
      </c>
    </row>
    <row r="51" spans="1:3" x14ac:dyDescent="0.3">
      <c r="A51" s="1">
        <v>44158</v>
      </c>
      <c r="B51" t="s">
        <v>4</v>
      </c>
      <c r="C51" s="2">
        <v>50000</v>
      </c>
    </row>
    <row r="52" spans="1:3" x14ac:dyDescent="0.3">
      <c r="A52" s="1">
        <v>44168</v>
      </c>
      <c r="B52" t="s">
        <v>4</v>
      </c>
      <c r="C52" s="2">
        <v>25000</v>
      </c>
    </row>
    <row r="53" spans="1:3" x14ac:dyDescent="0.3">
      <c r="A53" s="1">
        <v>44169</v>
      </c>
      <c r="B53" t="s">
        <v>4</v>
      </c>
      <c r="C53" s="2">
        <v>50000</v>
      </c>
    </row>
    <row r="54" spans="1:3" x14ac:dyDescent="0.3">
      <c r="A54" s="1">
        <v>44253</v>
      </c>
      <c r="B54" t="s">
        <v>4</v>
      </c>
      <c r="C54" s="2">
        <v>500</v>
      </c>
    </row>
    <row r="55" spans="1:3" x14ac:dyDescent="0.3">
      <c r="A55" s="1">
        <v>44260</v>
      </c>
      <c r="B55" t="s">
        <v>4</v>
      </c>
      <c r="C55" s="2">
        <v>50000</v>
      </c>
    </row>
    <row r="56" spans="1:3" x14ac:dyDescent="0.3">
      <c r="A56" s="1">
        <v>44250</v>
      </c>
      <c r="B56" t="s">
        <v>5</v>
      </c>
      <c r="C56" s="2">
        <v>1000</v>
      </c>
    </row>
    <row r="57" spans="1:3" x14ac:dyDescent="0.3">
      <c r="A57" s="1">
        <v>44202</v>
      </c>
      <c r="B57" t="s">
        <v>6</v>
      </c>
      <c r="C57" s="2">
        <v>4000</v>
      </c>
    </row>
    <row r="58" spans="1:3" x14ac:dyDescent="0.3">
      <c r="A58" s="1">
        <v>44277</v>
      </c>
      <c r="B58" t="s">
        <v>7</v>
      </c>
      <c r="C58" s="2">
        <v>1500</v>
      </c>
    </row>
    <row r="59" spans="1:3" x14ac:dyDescent="0.3">
      <c r="A59" s="1">
        <v>44217</v>
      </c>
      <c r="B59" t="s">
        <v>4</v>
      </c>
      <c r="C59" s="2">
        <v>50000</v>
      </c>
    </row>
    <row r="60" spans="1:3" x14ac:dyDescent="0.3">
      <c r="A60" s="1">
        <v>44279</v>
      </c>
      <c r="B60" t="s">
        <v>4</v>
      </c>
      <c r="C60" s="2">
        <v>50000</v>
      </c>
    </row>
    <row r="61" spans="1:3" x14ac:dyDescent="0.3">
      <c r="A61" s="1">
        <v>43840</v>
      </c>
      <c r="B61" t="s">
        <v>4</v>
      </c>
      <c r="C61" s="2">
        <v>256130</v>
      </c>
    </row>
    <row r="62" spans="1:3" x14ac:dyDescent="0.3">
      <c r="A62" s="1">
        <v>43840</v>
      </c>
      <c r="B62" t="s">
        <v>7</v>
      </c>
      <c r="C62" s="2">
        <v>3000</v>
      </c>
    </row>
    <row r="63" spans="1:3" x14ac:dyDescent="0.3">
      <c r="A63" s="1">
        <v>43840</v>
      </c>
      <c r="B63" t="s">
        <v>6</v>
      </c>
      <c r="C63" s="2">
        <v>16148</v>
      </c>
    </row>
    <row r="64" spans="1:3" x14ac:dyDescent="0.3">
      <c r="A64" s="1">
        <v>43840</v>
      </c>
      <c r="B64" t="s">
        <v>5</v>
      </c>
      <c r="C64" s="2">
        <v>1500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6099-8C29-46B5-A66C-B8C7ED36EE38}">
  <dimension ref="A1:E1290"/>
  <sheetViews>
    <sheetView workbookViewId="0">
      <selection activeCell="D1" sqref="D1"/>
    </sheetView>
  </sheetViews>
  <sheetFormatPr defaultRowHeight="14.4" x14ac:dyDescent="0.3"/>
  <cols>
    <col min="1" max="1" width="10.5546875" bestFit="1" customWidth="1"/>
    <col min="2" max="2" width="47.6640625" bestFit="1" customWidth="1"/>
    <col min="3" max="3" width="14.44140625" bestFit="1" customWidth="1"/>
    <col min="4" max="4" width="10.88671875" bestFit="1" customWidth="1"/>
    <col min="5" max="5" width="15.77734375" style="3" bestFit="1" customWidth="1"/>
    <col min="6" max="6" width="11" bestFit="1" customWidth="1"/>
  </cols>
  <sheetData>
    <row r="1" spans="1:5" x14ac:dyDescent="0.3">
      <c r="A1" t="s">
        <v>0</v>
      </c>
      <c r="B1" t="s">
        <v>8</v>
      </c>
      <c r="C1" t="s">
        <v>1</v>
      </c>
      <c r="D1" t="s">
        <v>2</v>
      </c>
      <c r="E1" s="3" t="s">
        <v>9</v>
      </c>
    </row>
    <row r="2" spans="1:5" x14ac:dyDescent="0.3">
      <c r="A2" s="1">
        <v>43832</v>
      </c>
      <c r="B2" t="s">
        <v>10</v>
      </c>
      <c r="C2" t="s">
        <v>4</v>
      </c>
      <c r="D2" s="2">
        <v>1000</v>
      </c>
      <c r="E2" s="3">
        <v>9840000</v>
      </c>
    </row>
    <row r="3" spans="1:5" x14ac:dyDescent="0.3">
      <c r="A3" s="1">
        <v>43832</v>
      </c>
      <c r="B3" t="s">
        <v>10</v>
      </c>
      <c r="C3" t="s">
        <v>5</v>
      </c>
      <c r="D3" s="2">
        <v>120</v>
      </c>
      <c r="E3" s="3">
        <v>8400000</v>
      </c>
    </row>
    <row r="4" spans="1:5" x14ac:dyDescent="0.3">
      <c r="A4" s="1">
        <v>43832</v>
      </c>
      <c r="B4" t="s">
        <v>11</v>
      </c>
      <c r="C4" t="s">
        <v>4</v>
      </c>
      <c r="D4" s="2">
        <v>6000</v>
      </c>
      <c r="E4" s="3">
        <v>62910000</v>
      </c>
    </row>
    <row r="5" spans="1:5" x14ac:dyDescent="0.3">
      <c r="A5" s="1">
        <v>43832</v>
      </c>
      <c r="B5" t="s">
        <v>11</v>
      </c>
      <c r="C5" t="s">
        <v>6</v>
      </c>
      <c r="D5" s="2">
        <v>408</v>
      </c>
      <c r="E5" s="3">
        <v>4855200</v>
      </c>
    </row>
    <row r="6" spans="1:5" x14ac:dyDescent="0.3">
      <c r="A6" s="1">
        <v>43832</v>
      </c>
      <c r="B6" t="s">
        <v>11</v>
      </c>
      <c r="C6" t="s">
        <v>7</v>
      </c>
      <c r="D6" s="2">
        <v>140</v>
      </c>
      <c r="E6" s="3">
        <v>1162000</v>
      </c>
    </row>
    <row r="7" spans="1:5" x14ac:dyDescent="0.3">
      <c r="A7" s="1">
        <v>43832</v>
      </c>
      <c r="B7" t="s">
        <v>12</v>
      </c>
      <c r="C7" t="s">
        <v>4</v>
      </c>
      <c r="D7" s="2">
        <v>820</v>
      </c>
      <c r="E7" s="3">
        <v>8597700</v>
      </c>
    </row>
    <row r="8" spans="1:5" x14ac:dyDescent="0.3">
      <c r="A8" s="1">
        <v>43832</v>
      </c>
      <c r="B8" t="s">
        <v>12</v>
      </c>
      <c r="C8" t="s">
        <v>4</v>
      </c>
      <c r="D8" s="2">
        <v>550</v>
      </c>
      <c r="E8" s="3">
        <v>5412000</v>
      </c>
    </row>
    <row r="9" spans="1:5" x14ac:dyDescent="0.3">
      <c r="A9" s="1">
        <v>43832</v>
      </c>
      <c r="B9" t="s">
        <v>12</v>
      </c>
      <c r="C9" t="s">
        <v>5</v>
      </c>
      <c r="D9" s="2">
        <v>140</v>
      </c>
      <c r="E9" s="3">
        <v>9800000</v>
      </c>
    </row>
    <row r="10" spans="1:5" x14ac:dyDescent="0.3">
      <c r="A10" s="1">
        <v>43833</v>
      </c>
      <c r="B10" t="s">
        <v>13</v>
      </c>
      <c r="C10" t="s">
        <v>4</v>
      </c>
      <c r="D10" s="2">
        <v>1180</v>
      </c>
      <c r="E10" s="3">
        <v>12372300</v>
      </c>
    </row>
    <row r="11" spans="1:5" x14ac:dyDescent="0.3">
      <c r="A11" s="1">
        <v>43833</v>
      </c>
      <c r="B11" t="s">
        <v>13</v>
      </c>
      <c r="C11" t="s">
        <v>6</v>
      </c>
      <c r="D11" s="2">
        <v>204</v>
      </c>
      <c r="E11" s="3">
        <v>2427600</v>
      </c>
    </row>
    <row r="12" spans="1:5" x14ac:dyDescent="0.3">
      <c r="A12" s="1">
        <v>43833</v>
      </c>
      <c r="B12" t="s">
        <v>13</v>
      </c>
      <c r="C12" t="s">
        <v>7</v>
      </c>
      <c r="D12" s="2">
        <v>200</v>
      </c>
      <c r="E12" s="3">
        <v>1660000</v>
      </c>
    </row>
    <row r="13" spans="1:5" x14ac:dyDescent="0.3">
      <c r="A13" s="1">
        <v>43836</v>
      </c>
      <c r="B13" t="s">
        <v>14</v>
      </c>
      <c r="C13" t="s">
        <v>4</v>
      </c>
      <c r="D13" s="2">
        <v>500</v>
      </c>
      <c r="E13" s="3">
        <v>4920000</v>
      </c>
    </row>
    <row r="14" spans="1:5" x14ac:dyDescent="0.3">
      <c r="A14" s="1">
        <v>43836</v>
      </c>
      <c r="B14" t="s">
        <v>14</v>
      </c>
      <c r="C14" t="s">
        <v>5</v>
      </c>
      <c r="D14" s="2">
        <v>100</v>
      </c>
      <c r="E14" s="3">
        <v>7000000</v>
      </c>
    </row>
    <row r="15" spans="1:5" x14ac:dyDescent="0.3">
      <c r="A15" s="1">
        <v>43836</v>
      </c>
      <c r="B15" t="s">
        <v>15</v>
      </c>
      <c r="C15" t="s">
        <v>4</v>
      </c>
      <c r="D15" s="2">
        <v>500</v>
      </c>
      <c r="E15" s="3">
        <v>4920000</v>
      </c>
    </row>
    <row r="16" spans="1:5" x14ac:dyDescent="0.3">
      <c r="A16" s="1">
        <v>43836</v>
      </c>
      <c r="B16" t="s">
        <v>15</v>
      </c>
      <c r="C16" t="s">
        <v>5</v>
      </c>
      <c r="D16" s="2">
        <v>110</v>
      </c>
      <c r="E16" s="3">
        <v>7700000</v>
      </c>
    </row>
    <row r="17" spans="1:5" x14ac:dyDescent="0.3">
      <c r="A17" s="1">
        <v>43836</v>
      </c>
      <c r="B17" t="s">
        <v>16</v>
      </c>
      <c r="C17" t="s">
        <v>4</v>
      </c>
      <c r="D17" s="2">
        <v>200</v>
      </c>
      <c r="E17" s="3">
        <v>1968000</v>
      </c>
    </row>
    <row r="18" spans="1:5" x14ac:dyDescent="0.3">
      <c r="A18" s="1">
        <v>43836</v>
      </c>
      <c r="B18" t="s">
        <v>16</v>
      </c>
      <c r="C18" t="s">
        <v>5</v>
      </c>
      <c r="D18" s="2">
        <v>40</v>
      </c>
      <c r="E18" s="3">
        <v>2800000</v>
      </c>
    </row>
    <row r="19" spans="1:5" x14ac:dyDescent="0.3">
      <c r="A19" s="1">
        <v>43837</v>
      </c>
      <c r="B19" t="s">
        <v>17</v>
      </c>
      <c r="C19" t="s">
        <v>4</v>
      </c>
      <c r="D19" s="2">
        <v>250</v>
      </c>
      <c r="E19" s="3">
        <v>2621250</v>
      </c>
    </row>
    <row r="20" spans="1:5" x14ac:dyDescent="0.3">
      <c r="A20" s="1">
        <v>43837</v>
      </c>
      <c r="B20" t="s">
        <v>17</v>
      </c>
      <c r="C20" t="s">
        <v>4</v>
      </c>
      <c r="D20" s="2">
        <v>500</v>
      </c>
      <c r="E20" s="3">
        <v>4920000</v>
      </c>
    </row>
    <row r="21" spans="1:5" x14ac:dyDescent="0.3">
      <c r="A21" s="1">
        <v>43837</v>
      </c>
      <c r="B21" t="s">
        <v>17</v>
      </c>
      <c r="C21" t="s">
        <v>5</v>
      </c>
      <c r="D21" s="2">
        <v>60</v>
      </c>
      <c r="E21" s="3">
        <v>4200000</v>
      </c>
    </row>
    <row r="22" spans="1:5" x14ac:dyDescent="0.3">
      <c r="A22" s="1">
        <v>43837</v>
      </c>
      <c r="B22" t="s">
        <v>18</v>
      </c>
      <c r="C22" t="s">
        <v>4</v>
      </c>
      <c r="D22" s="2">
        <v>250</v>
      </c>
      <c r="E22" s="3">
        <v>2621250</v>
      </c>
    </row>
    <row r="23" spans="1:5" x14ac:dyDescent="0.3">
      <c r="A23" s="1">
        <v>43837</v>
      </c>
      <c r="B23" t="s">
        <v>18</v>
      </c>
      <c r="C23" t="s">
        <v>4</v>
      </c>
      <c r="D23" s="2">
        <v>450</v>
      </c>
      <c r="E23" s="3">
        <v>4428000</v>
      </c>
    </row>
    <row r="24" spans="1:5" x14ac:dyDescent="0.3">
      <c r="A24" s="1">
        <v>43837</v>
      </c>
      <c r="B24" t="s">
        <v>18</v>
      </c>
      <c r="C24" t="s">
        <v>5</v>
      </c>
      <c r="D24" s="2">
        <v>60</v>
      </c>
      <c r="E24" s="3">
        <v>4200000</v>
      </c>
    </row>
    <row r="25" spans="1:5" x14ac:dyDescent="0.3">
      <c r="A25" s="1">
        <v>43839</v>
      </c>
      <c r="B25" t="s">
        <v>81</v>
      </c>
      <c r="C25" t="s">
        <v>4</v>
      </c>
      <c r="D25" s="2">
        <v>200</v>
      </c>
      <c r="E25" s="3">
        <v>2097000</v>
      </c>
    </row>
    <row r="26" spans="1:5" x14ac:dyDescent="0.3">
      <c r="A26" s="1">
        <v>43839</v>
      </c>
      <c r="B26" t="s">
        <v>81</v>
      </c>
      <c r="C26" t="s">
        <v>4</v>
      </c>
      <c r="D26" s="2">
        <v>600</v>
      </c>
      <c r="E26" s="3">
        <v>5904000</v>
      </c>
    </row>
    <row r="27" spans="1:5" x14ac:dyDescent="0.3">
      <c r="A27" s="1">
        <v>43839</v>
      </c>
      <c r="B27" t="s">
        <v>81</v>
      </c>
      <c r="C27" t="s">
        <v>5</v>
      </c>
      <c r="D27" s="2">
        <v>100</v>
      </c>
      <c r="E27" s="3">
        <v>7000000</v>
      </c>
    </row>
    <row r="28" spans="1:5" x14ac:dyDescent="0.3">
      <c r="A28" s="1">
        <v>43839</v>
      </c>
      <c r="B28" t="s">
        <v>19</v>
      </c>
      <c r="C28" t="s">
        <v>4</v>
      </c>
      <c r="D28" s="2">
        <v>300</v>
      </c>
      <c r="E28" s="3">
        <v>3145500</v>
      </c>
    </row>
    <row r="29" spans="1:5" x14ac:dyDescent="0.3">
      <c r="A29" s="1">
        <v>43839</v>
      </c>
      <c r="B29" t="s">
        <v>19</v>
      </c>
      <c r="C29" t="s">
        <v>4</v>
      </c>
      <c r="D29" s="2">
        <v>700</v>
      </c>
      <c r="E29" s="3">
        <v>6888000</v>
      </c>
    </row>
    <row r="30" spans="1:5" x14ac:dyDescent="0.3">
      <c r="A30" s="1">
        <v>43839</v>
      </c>
      <c r="B30" t="s">
        <v>19</v>
      </c>
      <c r="C30" t="s">
        <v>5</v>
      </c>
      <c r="D30" s="2">
        <v>150</v>
      </c>
      <c r="E30" s="3">
        <v>10500000</v>
      </c>
    </row>
    <row r="31" spans="1:5" x14ac:dyDescent="0.3">
      <c r="A31" s="1">
        <v>43840</v>
      </c>
      <c r="B31" t="s">
        <v>82</v>
      </c>
      <c r="C31" t="s">
        <v>4</v>
      </c>
      <c r="D31" s="2">
        <v>3000</v>
      </c>
      <c r="E31" s="3">
        <v>31500000</v>
      </c>
    </row>
    <row r="32" spans="1:5" x14ac:dyDescent="0.3">
      <c r="A32" s="1">
        <v>43840</v>
      </c>
      <c r="B32" t="s">
        <v>83</v>
      </c>
      <c r="C32" t="s">
        <v>4</v>
      </c>
      <c r="D32" s="2">
        <v>1000</v>
      </c>
      <c r="E32" s="3">
        <v>10500000</v>
      </c>
    </row>
    <row r="33" spans="1:5" x14ac:dyDescent="0.3">
      <c r="A33" s="1">
        <v>43840</v>
      </c>
      <c r="B33" t="s">
        <v>84</v>
      </c>
      <c r="C33" t="s">
        <v>4</v>
      </c>
      <c r="D33" s="2">
        <v>1000</v>
      </c>
      <c r="E33" s="3">
        <v>10500000</v>
      </c>
    </row>
    <row r="34" spans="1:5" x14ac:dyDescent="0.3">
      <c r="A34" s="1">
        <v>43840</v>
      </c>
      <c r="B34" t="s">
        <v>85</v>
      </c>
      <c r="C34" t="s">
        <v>4</v>
      </c>
      <c r="D34" s="2">
        <v>500</v>
      </c>
      <c r="E34" s="3">
        <v>5250000</v>
      </c>
    </row>
    <row r="35" spans="1:5" x14ac:dyDescent="0.3">
      <c r="A35" s="1">
        <v>43840</v>
      </c>
      <c r="B35" t="s">
        <v>86</v>
      </c>
      <c r="C35" t="s">
        <v>4</v>
      </c>
      <c r="D35" s="2">
        <v>500</v>
      </c>
      <c r="E35" s="3">
        <v>5250000</v>
      </c>
    </row>
    <row r="36" spans="1:5" x14ac:dyDescent="0.3">
      <c r="A36" s="1">
        <v>43840</v>
      </c>
      <c r="B36" t="s">
        <v>87</v>
      </c>
      <c r="C36" t="s">
        <v>4</v>
      </c>
      <c r="D36" s="2">
        <v>500</v>
      </c>
      <c r="E36" s="3">
        <v>5250000</v>
      </c>
    </row>
    <row r="37" spans="1:5" x14ac:dyDescent="0.3">
      <c r="A37" s="1">
        <v>43840</v>
      </c>
      <c r="B37" t="s">
        <v>88</v>
      </c>
      <c r="C37" t="s">
        <v>4</v>
      </c>
      <c r="D37" s="2">
        <v>500</v>
      </c>
      <c r="E37" s="3">
        <v>5250000</v>
      </c>
    </row>
    <row r="38" spans="1:5" x14ac:dyDescent="0.3">
      <c r="A38" s="1">
        <v>43840</v>
      </c>
      <c r="B38" t="s">
        <v>89</v>
      </c>
      <c r="C38" t="s">
        <v>4</v>
      </c>
      <c r="D38" s="2">
        <v>500</v>
      </c>
      <c r="E38" s="3">
        <v>5250000</v>
      </c>
    </row>
    <row r="39" spans="1:5" x14ac:dyDescent="0.3">
      <c r="A39" s="1">
        <v>43840</v>
      </c>
      <c r="B39" t="s">
        <v>90</v>
      </c>
      <c r="C39" t="s">
        <v>4</v>
      </c>
      <c r="D39" s="2">
        <v>4000</v>
      </c>
      <c r="E39" s="3">
        <v>42000000</v>
      </c>
    </row>
    <row r="40" spans="1:5" x14ac:dyDescent="0.3">
      <c r="A40" s="1">
        <v>43840</v>
      </c>
      <c r="B40" t="s">
        <v>91</v>
      </c>
      <c r="C40" t="s">
        <v>4</v>
      </c>
      <c r="D40" s="2">
        <v>3000</v>
      </c>
      <c r="E40" s="3">
        <v>31500000</v>
      </c>
    </row>
    <row r="41" spans="1:5" x14ac:dyDescent="0.3">
      <c r="A41" s="1">
        <v>43840</v>
      </c>
      <c r="B41" t="s">
        <v>92</v>
      </c>
      <c r="C41" t="s">
        <v>4</v>
      </c>
      <c r="D41" s="2">
        <v>500</v>
      </c>
      <c r="E41" s="3">
        <v>5242500</v>
      </c>
    </row>
    <row r="42" spans="1:5" x14ac:dyDescent="0.3">
      <c r="A42" s="1">
        <v>43840</v>
      </c>
      <c r="B42" t="s">
        <v>92</v>
      </c>
      <c r="C42" t="s">
        <v>5</v>
      </c>
      <c r="D42" s="2">
        <v>100</v>
      </c>
      <c r="E42" s="3">
        <v>7000000</v>
      </c>
    </row>
    <row r="43" spans="1:5" x14ac:dyDescent="0.3">
      <c r="A43" s="1">
        <v>43840</v>
      </c>
      <c r="B43" t="s">
        <v>92</v>
      </c>
      <c r="C43" t="s">
        <v>6</v>
      </c>
      <c r="D43" s="2">
        <v>84</v>
      </c>
      <c r="E43" s="3">
        <v>999600</v>
      </c>
    </row>
    <row r="44" spans="1:5" x14ac:dyDescent="0.3">
      <c r="A44" s="1">
        <v>43840</v>
      </c>
      <c r="B44" t="s">
        <v>92</v>
      </c>
      <c r="C44" t="s">
        <v>7</v>
      </c>
      <c r="D44" s="2">
        <v>60</v>
      </c>
      <c r="E44" s="3">
        <v>498000</v>
      </c>
    </row>
    <row r="45" spans="1:5" x14ac:dyDescent="0.3">
      <c r="A45" s="1">
        <v>43843</v>
      </c>
      <c r="B45" t="s">
        <v>20</v>
      </c>
      <c r="C45" t="s">
        <v>4</v>
      </c>
      <c r="D45" s="2">
        <v>300</v>
      </c>
      <c r="E45" s="3">
        <v>3145500</v>
      </c>
    </row>
    <row r="46" spans="1:5" x14ac:dyDescent="0.3">
      <c r="A46" s="1">
        <v>43843</v>
      </c>
      <c r="B46" t="s">
        <v>20</v>
      </c>
      <c r="C46" t="s">
        <v>5</v>
      </c>
      <c r="D46" s="2">
        <v>120</v>
      </c>
      <c r="E46" s="3">
        <v>8400000</v>
      </c>
    </row>
    <row r="47" spans="1:5" x14ac:dyDescent="0.3">
      <c r="A47" s="1">
        <v>43843</v>
      </c>
      <c r="B47" t="s">
        <v>21</v>
      </c>
      <c r="C47" t="s">
        <v>4</v>
      </c>
      <c r="D47" s="2">
        <v>200</v>
      </c>
      <c r="E47" s="3">
        <v>2097000</v>
      </c>
    </row>
    <row r="48" spans="1:5" x14ac:dyDescent="0.3">
      <c r="A48" s="1">
        <v>43843</v>
      </c>
      <c r="B48" t="s">
        <v>21</v>
      </c>
      <c r="C48" t="s">
        <v>5</v>
      </c>
      <c r="D48" s="2">
        <v>80</v>
      </c>
      <c r="E48" s="3">
        <v>5600000</v>
      </c>
    </row>
    <row r="49" spans="1:5" x14ac:dyDescent="0.3">
      <c r="A49" s="1">
        <v>43843</v>
      </c>
      <c r="B49" t="s">
        <v>93</v>
      </c>
      <c r="C49" t="s">
        <v>4</v>
      </c>
      <c r="D49" s="2">
        <v>1000</v>
      </c>
      <c r="E49" s="3">
        <v>10500000</v>
      </c>
    </row>
    <row r="50" spans="1:5" x14ac:dyDescent="0.3">
      <c r="A50" s="1">
        <v>43843</v>
      </c>
      <c r="B50" t="s">
        <v>94</v>
      </c>
      <c r="C50" t="s">
        <v>4</v>
      </c>
      <c r="D50" s="2">
        <v>7000</v>
      </c>
      <c r="E50" s="3">
        <v>73500000</v>
      </c>
    </row>
    <row r="51" spans="1:5" x14ac:dyDescent="0.3">
      <c r="A51" s="1">
        <v>43843</v>
      </c>
      <c r="B51" t="s">
        <v>84</v>
      </c>
      <c r="C51" t="s">
        <v>4</v>
      </c>
      <c r="D51" s="2">
        <v>1000</v>
      </c>
      <c r="E51" s="3">
        <v>10500000</v>
      </c>
    </row>
    <row r="52" spans="1:5" x14ac:dyDescent="0.3">
      <c r="A52" s="1">
        <v>43843</v>
      </c>
      <c r="B52" t="s">
        <v>95</v>
      </c>
      <c r="C52" t="s">
        <v>4</v>
      </c>
      <c r="D52" s="2">
        <v>2500</v>
      </c>
      <c r="E52" s="3">
        <v>26250000</v>
      </c>
    </row>
    <row r="53" spans="1:5" x14ac:dyDescent="0.3">
      <c r="A53" s="1">
        <v>43844</v>
      </c>
      <c r="B53" t="s">
        <v>22</v>
      </c>
      <c r="C53" t="s">
        <v>4</v>
      </c>
      <c r="D53" s="2">
        <v>500</v>
      </c>
      <c r="E53" s="3">
        <v>4920000</v>
      </c>
    </row>
    <row r="54" spans="1:5" x14ac:dyDescent="0.3">
      <c r="A54" s="1">
        <v>43844</v>
      </c>
      <c r="B54" t="s">
        <v>22</v>
      </c>
      <c r="C54" t="s">
        <v>5</v>
      </c>
      <c r="D54" s="2">
        <v>20</v>
      </c>
      <c r="E54" s="3">
        <v>1400000</v>
      </c>
    </row>
    <row r="55" spans="1:5" x14ac:dyDescent="0.3">
      <c r="A55" s="1">
        <v>43846</v>
      </c>
      <c r="B55" t="s">
        <v>23</v>
      </c>
      <c r="C55" t="s">
        <v>4</v>
      </c>
      <c r="D55" s="2">
        <v>550</v>
      </c>
      <c r="E55" s="3">
        <v>5412000</v>
      </c>
    </row>
    <row r="56" spans="1:5" x14ac:dyDescent="0.3">
      <c r="A56" s="1">
        <v>43846</v>
      </c>
      <c r="B56" t="s">
        <v>23</v>
      </c>
      <c r="C56" t="s">
        <v>5</v>
      </c>
      <c r="D56" s="2">
        <v>40</v>
      </c>
      <c r="E56" s="3">
        <v>2800000</v>
      </c>
    </row>
    <row r="57" spans="1:5" x14ac:dyDescent="0.3">
      <c r="A57" s="1">
        <v>43846</v>
      </c>
      <c r="B57" t="s">
        <v>24</v>
      </c>
      <c r="C57" t="s">
        <v>4</v>
      </c>
      <c r="D57" s="2">
        <v>500</v>
      </c>
      <c r="E57" s="3">
        <v>4920000</v>
      </c>
    </row>
    <row r="58" spans="1:5" x14ac:dyDescent="0.3">
      <c r="A58" s="1">
        <v>43846</v>
      </c>
      <c r="B58" t="s">
        <v>24</v>
      </c>
      <c r="C58" t="s">
        <v>5</v>
      </c>
      <c r="D58" s="2">
        <v>35</v>
      </c>
      <c r="E58" s="3">
        <v>2450000</v>
      </c>
    </row>
    <row r="59" spans="1:5" x14ac:dyDescent="0.3">
      <c r="A59" s="1">
        <v>43850</v>
      </c>
      <c r="B59" t="s">
        <v>25</v>
      </c>
      <c r="C59" t="s">
        <v>4</v>
      </c>
      <c r="D59" s="2">
        <v>900</v>
      </c>
      <c r="E59" s="3">
        <v>8856000</v>
      </c>
    </row>
    <row r="60" spans="1:5" x14ac:dyDescent="0.3">
      <c r="A60" s="1">
        <v>43850</v>
      </c>
      <c r="B60" t="s">
        <v>25</v>
      </c>
      <c r="C60" t="s">
        <v>5</v>
      </c>
      <c r="D60" s="2">
        <v>60</v>
      </c>
      <c r="E60" s="3">
        <v>4200000</v>
      </c>
    </row>
    <row r="61" spans="1:5" x14ac:dyDescent="0.3">
      <c r="A61" s="1">
        <v>43850</v>
      </c>
      <c r="B61" t="s">
        <v>25</v>
      </c>
      <c r="C61" t="s">
        <v>7</v>
      </c>
      <c r="D61" s="2">
        <v>60</v>
      </c>
      <c r="E61" s="3">
        <v>498000</v>
      </c>
    </row>
    <row r="62" spans="1:5" x14ac:dyDescent="0.3">
      <c r="A62" s="1">
        <v>43850</v>
      </c>
      <c r="B62" t="s">
        <v>26</v>
      </c>
      <c r="C62" t="s">
        <v>4</v>
      </c>
      <c r="D62" s="2">
        <v>800</v>
      </c>
      <c r="E62" s="3">
        <v>7872000</v>
      </c>
    </row>
    <row r="63" spans="1:5" x14ac:dyDescent="0.3">
      <c r="A63" s="1">
        <v>43850</v>
      </c>
      <c r="B63" t="s">
        <v>26</v>
      </c>
      <c r="C63" t="s">
        <v>5</v>
      </c>
      <c r="D63" s="2">
        <v>50</v>
      </c>
      <c r="E63" s="3">
        <v>3500000</v>
      </c>
    </row>
    <row r="64" spans="1:5" x14ac:dyDescent="0.3">
      <c r="A64" s="1">
        <v>43850</v>
      </c>
      <c r="B64" t="s">
        <v>26</v>
      </c>
      <c r="C64" t="s">
        <v>7</v>
      </c>
      <c r="D64" s="2">
        <v>40</v>
      </c>
      <c r="E64" s="3">
        <v>332000</v>
      </c>
    </row>
    <row r="65" spans="1:5" x14ac:dyDescent="0.3">
      <c r="A65" s="1">
        <v>43850</v>
      </c>
      <c r="B65" t="s">
        <v>27</v>
      </c>
      <c r="C65" t="s">
        <v>4</v>
      </c>
      <c r="D65" s="2">
        <v>700</v>
      </c>
      <c r="E65" s="3">
        <v>6888000</v>
      </c>
    </row>
    <row r="66" spans="1:5" x14ac:dyDescent="0.3">
      <c r="A66" s="1">
        <v>43851</v>
      </c>
      <c r="B66" t="s">
        <v>96</v>
      </c>
      <c r="C66" t="s">
        <v>4</v>
      </c>
      <c r="D66" s="2">
        <v>500</v>
      </c>
      <c r="E66" s="3">
        <v>5250000</v>
      </c>
    </row>
    <row r="67" spans="1:5" x14ac:dyDescent="0.3">
      <c r="A67" s="1">
        <v>43851</v>
      </c>
      <c r="B67" t="s">
        <v>89</v>
      </c>
      <c r="C67" t="s">
        <v>4</v>
      </c>
      <c r="D67" s="2">
        <v>750</v>
      </c>
      <c r="E67" s="3">
        <v>7875000</v>
      </c>
    </row>
    <row r="68" spans="1:5" x14ac:dyDescent="0.3">
      <c r="A68" s="1">
        <v>43851</v>
      </c>
      <c r="B68" t="s">
        <v>93</v>
      </c>
      <c r="C68" t="s">
        <v>4</v>
      </c>
      <c r="D68" s="2">
        <v>2000</v>
      </c>
      <c r="E68" s="3">
        <v>21000000</v>
      </c>
    </row>
    <row r="69" spans="1:5" x14ac:dyDescent="0.3">
      <c r="A69" s="1">
        <v>43851</v>
      </c>
      <c r="B69" t="s">
        <v>94</v>
      </c>
      <c r="C69" t="s">
        <v>4</v>
      </c>
      <c r="D69" s="2">
        <v>4000</v>
      </c>
      <c r="E69" s="3">
        <v>42000000</v>
      </c>
    </row>
    <row r="70" spans="1:5" x14ac:dyDescent="0.3">
      <c r="A70" s="1">
        <v>43851</v>
      </c>
      <c r="B70" t="s">
        <v>97</v>
      </c>
      <c r="C70" t="s">
        <v>4</v>
      </c>
      <c r="D70" s="2">
        <v>1000</v>
      </c>
      <c r="E70" s="3">
        <v>10500000</v>
      </c>
    </row>
    <row r="71" spans="1:5" x14ac:dyDescent="0.3">
      <c r="A71" s="1">
        <v>43851</v>
      </c>
      <c r="B71" t="s">
        <v>98</v>
      </c>
      <c r="C71" t="s">
        <v>4</v>
      </c>
      <c r="D71" s="2">
        <v>2400</v>
      </c>
      <c r="E71" s="3">
        <v>25200000</v>
      </c>
    </row>
    <row r="72" spans="1:5" x14ac:dyDescent="0.3">
      <c r="A72" s="1">
        <v>43852</v>
      </c>
      <c r="B72" t="s">
        <v>28</v>
      </c>
      <c r="C72" t="s">
        <v>4</v>
      </c>
      <c r="D72" s="2">
        <v>250</v>
      </c>
      <c r="E72" s="3">
        <v>2460000</v>
      </c>
    </row>
    <row r="73" spans="1:5" x14ac:dyDescent="0.3">
      <c r="A73" s="1">
        <v>43852</v>
      </c>
      <c r="B73" t="s">
        <v>28</v>
      </c>
      <c r="C73" t="s">
        <v>5</v>
      </c>
      <c r="D73" s="2">
        <v>100</v>
      </c>
      <c r="E73" s="3">
        <v>7000000</v>
      </c>
    </row>
    <row r="74" spans="1:5" x14ac:dyDescent="0.3">
      <c r="A74" s="1">
        <v>43852</v>
      </c>
      <c r="B74" t="s">
        <v>29</v>
      </c>
      <c r="C74" t="s">
        <v>4</v>
      </c>
      <c r="D74" s="2">
        <v>250</v>
      </c>
      <c r="E74" s="3">
        <v>2460000</v>
      </c>
    </row>
    <row r="75" spans="1:5" x14ac:dyDescent="0.3">
      <c r="A75" s="1">
        <v>43852</v>
      </c>
      <c r="B75" t="s">
        <v>29</v>
      </c>
      <c r="C75" t="s">
        <v>5</v>
      </c>
      <c r="D75" s="2">
        <v>100</v>
      </c>
      <c r="E75" s="3">
        <v>7000000</v>
      </c>
    </row>
    <row r="76" spans="1:5" x14ac:dyDescent="0.3">
      <c r="A76" s="1">
        <v>43852</v>
      </c>
      <c r="B76" t="s">
        <v>99</v>
      </c>
      <c r="C76" t="s">
        <v>4</v>
      </c>
      <c r="D76" s="2">
        <v>200</v>
      </c>
      <c r="E76" s="3">
        <v>1968000</v>
      </c>
    </row>
    <row r="77" spans="1:5" x14ac:dyDescent="0.3">
      <c r="A77" s="1">
        <v>43852</v>
      </c>
      <c r="B77" t="s">
        <v>99</v>
      </c>
      <c r="C77" t="s">
        <v>5</v>
      </c>
      <c r="D77" s="2">
        <v>100</v>
      </c>
      <c r="E77" s="3">
        <v>7000000</v>
      </c>
    </row>
    <row r="78" spans="1:5" x14ac:dyDescent="0.3">
      <c r="A78" s="1">
        <v>43853</v>
      </c>
      <c r="B78" t="s">
        <v>100</v>
      </c>
      <c r="C78" t="s">
        <v>4</v>
      </c>
      <c r="D78" s="2">
        <v>10000</v>
      </c>
      <c r="E78" s="3">
        <v>105000000</v>
      </c>
    </row>
    <row r="79" spans="1:5" x14ac:dyDescent="0.3">
      <c r="A79" s="1">
        <v>43853</v>
      </c>
      <c r="B79" t="s">
        <v>101</v>
      </c>
      <c r="C79" t="s">
        <v>4</v>
      </c>
      <c r="D79" s="2">
        <v>10000</v>
      </c>
      <c r="E79" s="3">
        <v>105000000</v>
      </c>
    </row>
    <row r="80" spans="1:5" x14ac:dyDescent="0.3">
      <c r="A80" s="1">
        <v>43857</v>
      </c>
      <c r="B80" t="s">
        <v>30</v>
      </c>
      <c r="C80" t="s">
        <v>4</v>
      </c>
      <c r="D80" s="2">
        <v>600</v>
      </c>
      <c r="E80" s="3">
        <v>5904000</v>
      </c>
    </row>
    <row r="81" spans="1:5" x14ac:dyDescent="0.3">
      <c r="A81" s="1">
        <v>43857</v>
      </c>
      <c r="B81" t="s">
        <v>30</v>
      </c>
      <c r="C81" t="s">
        <v>5</v>
      </c>
      <c r="D81" s="2">
        <v>80</v>
      </c>
      <c r="E81" s="3">
        <v>5600000</v>
      </c>
    </row>
    <row r="82" spans="1:5" x14ac:dyDescent="0.3">
      <c r="A82" s="1">
        <v>43858</v>
      </c>
      <c r="B82" t="s">
        <v>31</v>
      </c>
      <c r="C82" t="s">
        <v>4</v>
      </c>
      <c r="D82" s="2">
        <v>500</v>
      </c>
      <c r="E82" s="3">
        <v>5192500</v>
      </c>
    </row>
    <row r="83" spans="1:5" x14ac:dyDescent="0.3">
      <c r="A83" s="1">
        <v>43858</v>
      </c>
      <c r="B83" t="s">
        <v>31</v>
      </c>
      <c r="C83" t="s">
        <v>5</v>
      </c>
      <c r="D83" s="2">
        <v>75</v>
      </c>
      <c r="E83" s="3">
        <v>5250000</v>
      </c>
    </row>
    <row r="84" spans="1:5" x14ac:dyDescent="0.3">
      <c r="A84" s="1">
        <v>43858</v>
      </c>
      <c r="B84" t="s">
        <v>102</v>
      </c>
      <c r="C84" t="s">
        <v>4</v>
      </c>
      <c r="D84" s="2">
        <v>1000</v>
      </c>
      <c r="E84" s="3">
        <v>10500000</v>
      </c>
    </row>
    <row r="85" spans="1:5" x14ac:dyDescent="0.3">
      <c r="A85" s="1">
        <v>43858</v>
      </c>
      <c r="B85" t="s">
        <v>103</v>
      </c>
      <c r="C85" t="s">
        <v>4</v>
      </c>
      <c r="D85" s="2">
        <v>18000</v>
      </c>
      <c r="E85" s="3">
        <v>189000000</v>
      </c>
    </row>
    <row r="86" spans="1:5" x14ac:dyDescent="0.3">
      <c r="A86" s="1">
        <v>43858</v>
      </c>
      <c r="B86" t="s">
        <v>82</v>
      </c>
      <c r="C86" t="s">
        <v>4</v>
      </c>
      <c r="D86" s="2">
        <v>1800</v>
      </c>
      <c r="E86" s="3">
        <v>18900000</v>
      </c>
    </row>
    <row r="87" spans="1:5" x14ac:dyDescent="0.3">
      <c r="A87" s="1">
        <v>43858</v>
      </c>
      <c r="B87" t="s">
        <v>94</v>
      </c>
      <c r="C87" t="s">
        <v>4</v>
      </c>
      <c r="D87" s="2">
        <v>3000</v>
      </c>
      <c r="E87" s="3">
        <v>31500000</v>
      </c>
    </row>
    <row r="88" spans="1:5" x14ac:dyDescent="0.3">
      <c r="A88" s="1">
        <v>43858</v>
      </c>
      <c r="B88" t="s">
        <v>104</v>
      </c>
      <c r="C88" t="s">
        <v>4</v>
      </c>
      <c r="D88" s="2">
        <v>2000</v>
      </c>
      <c r="E88" s="3">
        <v>21000000</v>
      </c>
    </row>
    <row r="89" spans="1:5" x14ac:dyDescent="0.3">
      <c r="A89" s="1">
        <v>43859</v>
      </c>
      <c r="B89" t="s">
        <v>32</v>
      </c>
      <c r="C89" t="s">
        <v>4</v>
      </c>
      <c r="D89" s="2">
        <v>540</v>
      </c>
      <c r="E89" s="3">
        <v>5607900</v>
      </c>
    </row>
    <row r="90" spans="1:5" x14ac:dyDescent="0.3">
      <c r="A90" s="1">
        <v>43859</v>
      </c>
      <c r="B90" t="s">
        <v>32</v>
      </c>
      <c r="C90" t="s">
        <v>5</v>
      </c>
      <c r="D90" s="2">
        <v>200</v>
      </c>
      <c r="E90" s="3">
        <v>14000000</v>
      </c>
    </row>
    <row r="91" spans="1:5" x14ac:dyDescent="0.3">
      <c r="A91" s="1">
        <v>43860</v>
      </c>
      <c r="B91" t="s">
        <v>101</v>
      </c>
      <c r="C91" t="s">
        <v>4</v>
      </c>
      <c r="D91" s="2">
        <v>15000</v>
      </c>
      <c r="E91" s="3">
        <v>157500000</v>
      </c>
    </row>
    <row r="92" spans="1:5" x14ac:dyDescent="0.3">
      <c r="A92" s="1">
        <v>43860</v>
      </c>
      <c r="B92" t="s">
        <v>103</v>
      </c>
      <c r="C92" t="s">
        <v>4</v>
      </c>
      <c r="D92" s="2">
        <v>6000</v>
      </c>
      <c r="E92" s="3">
        <v>63000000</v>
      </c>
    </row>
    <row r="93" spans="1:5" x14ac:dyDescent="0.3">
      <c r="A93" s="1">
        <v>43860</v>
      </c>
      <c r="B93" t="s">
        <v>89</v>
      </c>
      <c r="C93" t="s">
        <v>4</v>
      </c>
      <c r="D93" s="2">
        <v>1000</v>
      </c>
      <c r="E93" s="3">
        <v>10500000</v>
      </c>
    </row>
    <row r="94" spans="1:5" x14ac:dyDescent="0.3">
      <c r="A94" s="1">
        <v>43860</v>
      </c>
      <c r="B94" t="s">
        <v>105</v>
      </c>
      <c r="C94" t="s">
        <v>4</v>
      </c>
      <c r="D94" s="2">
        <v>600</v>
      </c>
      <c r="E94" s="3">
        <v>5904000</v>
      </c>
    </row>
    <row r="95" spans="1:5" x14ac:dyDescent="0.3">
      <c r="A95" s="1">
        <v>43860</v>
      </c>
      <c r="B95" t="s">
        <v>105</v>
      </c>
      <c r="C95" t="s">
        <v>5</v>
      </c>
      <c r="D95" s="2">
        <v>80</v>
      </c>
      <c r="E95" s="3">
        <v>5600000</v>
      </c>
    </row>
    <row r="96" spans="1:5" x14ac:dyDescent="0.3">
      <c r="A96" s="1">
        <v>43860</v>
      </c>
      <c r="B96" t="s">
        <v>33</v>
      </c>
      <c r="C96" t="s">
        <v>4</v>
      </c>
      <c r="D96" s="2">
        <v>700</v>
      </c>
      <c r="E96" s="3">
        <v>6888000</v>
      </c>
    </row>
    <row r="97" spans="1:5" x14ac:dyDescent="0.3">
      <c r="A97" s="1">
        <v>43860</v>
      </c>
      <c r="B97" t="s">
        <v>33</v>
      </c>
      <c r="C97" t="s">
        <v>5</v>
      </c>
      <c r="D97" s="2">
        <v>100</v>
      </c>
      <c r="E97" s="3">
        <v>7000000</v>
      </c>
    </row>
    <row r="98" spans="1:5" x14ac:dyDescent="0.3">
      <c r="A98" s="1">
        <v>43864</v>
      </c>
      <c r="B98" t="s">
        <v>106</v>
      </c>
      <c r="C98" t="s">
        <v>4</v>
      </c>
      <c r="D98" s="2">
        <v>500</v>
      </c>
      <c r="E98" s="3">
        <v>4920000</v>
      </c>
    </row>
    <row r="99" spans="1:5" x14ac:dyDescent="0.3">
      <c r="A99" s="1">
        <v>43864</v>
      </c>
      <c r="B99" t="s">
        <v>106</v>
      </c>
      <c r="C99" t="s">
        <v>5</v>
      </c>
      <c r="D99" s="2">
        <v>40</v>
      </c>
      <c r="E99" s="3">
        <v>2800000</v>
      </c>
    </row>
    <row r="100" spans="1:5" x14ac:dyDescent="0.3">
      <c r="A100" s="1">
        <v>43864</v>
      </c>
      <c r="B100" t="s">
        <v>106</v>
      </c>
      <c r="C100" t="s">
        <v>6</v>
      </c>
      <c r="D100" s="2">
        <v>132</v>
      </c>
      <c r="E100" s="3">
        <v>1570800</v>
      </c>
    </row>
    <row r="101" spans="1:5" x14ac:dyDescent="0.3">
      <c r="A101" s="1">
        <v>43864</v>
      </c>
      <c r="B101" t="s">
        <v>106</v>
      </c>
      <c r="C101" t="s">
        <v>7</v>
      </c>
      <c r="D101" s="2">
        <v>40</v>
      </c>
      <c r="E101" s="3">
        <v>332000</v>
      </c>
    </row>
    <row r="102" spans="1:5" x14ac:dyDescent="0.3">
      <c r="A102" s="1">
        <v>43864</v>
      </c>
      <c r="B102" t="s">
        <v>34</v>
      </c>
      <c r="C102" t="s">
        <v>4</v>
      </c>
      <c r="D102" s="2">
        <v>1000</v>
      </c>
      <c r="E102" s="3">
        <v>9840000</v>
      </c>
    </row>
    <row r="103" spans="1:5" x14ac:dyDescent="0.3">
      <c r="A103" s="1">
        <v>43865</v>
      </c>
      <c r="B103" t="s">
        <v>35</v>
      </c>
      <c r="C103" t="s">
        <v>4</v>
      </c>
      <c r="D103" s="2">
        <v>750</v>
      </c>
      <c r="E103" s="3">
        <v>7380000</v>
      </c>
    </row>
    <row r="104" spans="1:5" x14ac:dyDescent="0.3">
      <c r="A104" s="1">
        <v>43866</v>
      </c>
      <c r="B104" t="s">
        <v>36</v>
      </c>
      <c r="C104" t="s">
        <v>4</v>
      </c>
      <c r="D104" s="2">
        <v>650</v>
      </c>
      <c r="E104" s="3">
        <v>6396000</v>
      </c>
    </row>
    <row r="105" spans="1:5" x14ac:dyDescent="0.3">
      <c r="A105" s="1">
        <v>43866</v>
      </c>
      <c r="B105" t="s">
        <v>36</v>
      </c>
      <c r="C105" t="s">
        <v>5</v>
      </c>
      <c r="D105" s="2">
        <v>60</v>
      </c>
      <c r="E105" s="3">
        <v>4200000</v>
      </c>
    </row>
    <row r="106" spans="1:5" x14ac:dyDescent="0.3">
      <c r="A106" s="1">
        <v>43866</v>
      </c>
      <c r="B106" t="s">
        <v>93</v>
      </c>
      <c r="C106" t="s">
        <v>4</v>
      </c>
      <c r="D106" s="2">
        <v>3000</v>
      </c>
      <c r="E106" s="3">
        <v>31500000</v>
      </c>
    </row>
    <row r="107" spans="1:5" x14ac:dyDescent="0.3">
      <c r="A107" s="1">
        <v>43866</v>
      </c>
      <c r="B107" t="s">
        <v>84</v>
      </c>
      <c r="C107" t="s">
        <v>4</v>
      </c>
      <c r="D107" s="2">
        <v>1000</v>
      </c>
      <c r="E107" s="3">
        <v>10500000</v>
      </c>
    </row>
    <row r="108" spans="1:5" x14ac:dyDescent="0.3">
      <c r="A108" s="1">
        <v>43866</v>
      </c>
      <c r="B108" t="s">
        <v>102</v>
      </c>
      <c r="C108" t="s">
        <v>4</v>
      </c>
      <c r="D108" s="2">
        <v>1500</v>
      </c>
      <c r="E108" s="3">
        <v>15750000</v>
      </c>
    </row>
    <row r="109" spans="1:5" x14ac:dyDescent="0.3">
      <c r="A109" s="1">
        <v>43866</v>
      </c>
      <c r="B109" t="s">
        <v>103</v>
      </c>
      <c r="C109" t="s">
        <v>4</v>
      </c>
      <c r="D109" s="2">
        <v>12000</v>
      </c>
      <c r="E109" s="3">
        <v>126000000</v>
      </c>
    </row>
    <row r="110" spans="1:5" x14ac:dyDescent="0.3">
      <c r="A110" s="1">
        <v>43866</v>
      </c>
      <c r="B110" t="s">
        <v>107</v>
      </c>
      <c r="C110" t="s">
        <v>4</v>
      </c>
      <c r="D110" s="2">
        <v>2500</v>
      </c>
      <c r="E110" s="3">
        <v>26250000</v>
      </c>
    </row>
    <row r="111" spans="1:5" x14ac:dyDescent="0.3">
      <c r="A111" s="1">
        <v>43866</v>
      </c>
      <c r="B111" t="s">
        <v>83</v>
      </c>
      <c r="C111" t="s">
        <v>4</v>
      </c>
      <c r="D111" s="2">
        <v>2500</v>
      </c>
      <c r="E111" s="3">
        <v>26250000</v>
      </c>
    </row>
    <row r="112" spans="1:5" x14ac:dyDescent="0.3">
      <c r="A112" s="1">
        <v>43866</v>
      </c>
      <c r="B112" t="s">
        <v>108</v>
      </c>
      <c r="C112" t="s">
        <v>4</v>
      </c>
      <c r="D112" s="2">
        <v>1000</v>
      </c>
      <c r="E112" s="3">
        <v>10500000</v>
      </c>
    </row>
    <row r="113" spans="1:5" x14ac:dyDescent="0.3">
      <c r="A113" s="1">
        <v>43866</v>
      </c>
      <c r="B113" t="s">
        <v>109</v>
      </c>
      <c r="C113" t="s">
        <v>4</v>
      </c>
      <c r="D113" s="2">
        <v>4000</v>
      </c>
      <c r="E113" s="3">
        <v>42000000</v>
      </c>
    </row>
    <row r="114" spans="1:5" x14ac:dyDescent="0.3">
      <c r="A114" s="1">
        <v>43866</v>
      </c>
      <c r="B114" t="s">
        <v>110</v>
      </c>
      <c r="C114" t="s">
        <v>4</v>
      </c>
      <c r="D114" s="2">
        <v>4000</v>
      </c>
      <c r="E114" s="3">
        <v>42000000</v>
      </c>
    </row>
    <row r="115" spans="1:5" x14ac:dyDescent="0.3">
      <c r="A115" s="1">
        <v>43866</v>
      </c>
      <c r="B115" t="s">
        <v>111</v>
      </c>
      <c r="C115" t="s">
        <v>4</v>
      </c>
      <c r="D115" s="2">
        <v>6000</v>
      </c>
      <c r="E115" s="3">
        <v>63000000</v>
      </c>
    </row>
    <row r="116" spans="1:5" x14ac:dyDescent="0.3">
      <c r="A116" s="1">
        <v>43866</v>
      </c>
      <c r="B116" t="s">
        <v>112</v>
      </c>
      <c r="C116" t="s">
        <v>4</v>
      </c>
      <c r="D116" s="2">
        <v>4000</v>
      </c>
      <c r="E116" s="3">
        <v>42000000</v>
      </c>
    </row>
    <row r="117" spans="1:5" x14ac:dyDescent="0.3">
      <c r="A117" s="1">
        <v>43867</v>
      </c>
      <c r="B117" t="s">
        <v>37</v>
      </c>
      <c r="C117" t="s">
        <v>4</v>
      </c>
      <c r="D117" s="2">
        <v>600</v>
      </c>
      <c r="E117" s="3">
        <v>5904000</v>
      </c>
    </row>
    <row r="118" spans="1:5" x14ac:dyDescent="0.3">
      <c r="A118" s="1">
        <v>43867</v>
      </c>
      <c r="B118" t="s">
        <v>37</v>
      </c>
      <c r="C118" t="s">
        <v>5</v>
      </c>
      <c r="D118" s="2">
        <v>20</v>
      </c>
      <c r="E118" s="3">
        <v>1400000</v>
      </c>
    </row>
    <row r="119" spans="1:5" x14ac:dyDescent="0.3">
      <c r="A119" s="1">
        <v>43867</v>
      </c>
      <c r="B119" t="s">
        <v>113</v>
      </c>
      <c r="C119" t="s">
        <v>4</v>
      </c>
      <c r="D119" s="2">
        <v>2800</v>
      </c>
      <c r="E119" s="3">
        <v>29400000</v>
      </c>
    </row>
    <row r="120" spans="1:5" x14ac:dyDescent="0.3">
      <c r="A120" s="1">
        <v>43867</v>
      </c>
      <c r="B120" t="s">
        <v>83</v>
      </c>
      <c r="C120" t="s">
        <v>4</v>
      </c>
      <c r="D120" s="2">
        <v>1100</v>
      </c>
      <c r="E120" s="3">
        <v>11550000</v>
      </c>
    </row>
    <row r="121" spans="1:5" x14ac:dyDescent="0.3">
      <c r="A121" s="1">
        <v>43867</v>
      </c>
      <c r="B121" t="s">
        <v>93</v>
      </c>
      <c r="C121" t="s">
        <v>4</v>
      </c>
      <c r="D121" s="2">
        <v>1000</v>
      </c>
      <c r="E121" s="3">
        <v>10500000</v>
      </c>
    </row>
    <row r="122" spans="1:5" x14ac:dyDescent="0.3">
      <c r="A122" s="1">
        <v>43867</v>
      </c>
      <c r="B122" t="s">
        <v>104</v>
      </c>
      <c r="C122" t="s">
        <v>4</v>
      </c>
      <c r="D122" s="2">
        <v>6000</v>
      </c>
      <c r="E122" s="3">
        <v>63000000</v>
      </c>
    </row>
    <row r="123" spans="1:5" x14ac:dyDescent="0.3">
      <c r="A123" s="1">
        <v>43867</v>
      </c>
      <c r="B123" t="s">
        <v>98</v>
      </c>
      <c r="C123" t="s">
        <v>4</v>
      </c>
      <c r="D123" s="2">
        <v>5600</v>
      </c>
      <c r="E123" s="3">
        <v>58800000</v>
      </c>
    </row>
    <row r="124" spans="1:5" x14ac:dyDescent="0.3">
      <c r="A124" s="1">
        <v>43868</v>
      </c>
      <c r="B124" t="s">
        <v>114</v>
      </c>
      <c r="C124" t="s">
        <v>4</v>
      </c>
      <c r="D124" s="2">
        <v>3000</v>
      </c>
      <c r="E124" s="3">
        <v>31500000</v>
      </c>
    </row>
    <row r="125" spans="1:5" x14ac:dyDescent="0.3">
      <c r="A125" s="1">
        <v>43868</v>
      </c>
      <c r="B125" t="s">
        <v>115</v>
      </c>
      <c r="C125" t="s">
        <v>4</v>
      </c>
      <c r="D125" s="2">
        <v>1500</v>
      </c>
      <c r="E125" s="3">
        <v>15750000</v>
      </c>
    </row>
    <row r="126" spans="1:5" x14ac:dyDescent="0.3">
      <c r="A126" s="1">
        <v>43868</v>
      </c>
      <c r="B126" t="s">
        <v>84</v>
      </c>
      <c r="C126" t="s">
        <v>4</v>
      </c>
      <c r="D126" s="2">
        <v>1000</v>
      </c>
      <c r="E126" s="3">
        <v>10500000</v>
      </c>
    </row>
    <row r="127" spans="1:5" x14ac:dyDescent="0.3">
      <c r="A127" s="1">
        <v>43868</v>
      </c>
      <c r="B127" t="s">
        <v>101</v>
      </c>
      <c r="C127" t="s">
        <v>4</v>
      </c>
      <c r="D127" s="2">
        <v>10000</v>
      </c>
      <c r="E127" s="3">
        <v>105000000</v>
      </c>
    </row>
    <row r="128" spans="1:5" x14ac:dyDescent="0.3">
      <c r="A128" s="1">
        <v>43868</v>
      </c>
      <c r="B128" t="s">
        <v>116</v>
      </c>
      <c r="C128" t="s">
        <v>4</v>
      </c>
      <c r="D128" s="2">
        <v>500</v>
      </c>
      <c r="E128" s="3">
        <v>5250000</v>
      </c>
    </row>
    <row r="129" spans="1:5" x14ac:dyDescent="0.3">
      <c r="A129" s="1">
        <v>43871</v>
      </c>
      <c r="B129" t="s">
        <v>117</v>
      </c>
      <c r="C129" t="s">
        <v>4</v>
      </c>
      <c r="D129" s="2">
        <v>5000</v>
      </c>
      <c r="E129" s="3">
        <v>52500000</v>
      </c>
    </row>
    <row r="130" spans="1:5" x14ac:dyDescent="0.3">
      <c r="A130" s="1">
        <v>43871</v>
      </c>
      <c r="B130" t="s">
        <v>88</v>
      </c>
      <c r="C130" t="s">
        <v>4</v>
      </c>
      <c r="D130" s="2">
        <v>750</v>
      </c>
      <c r="E130" s="3">
        <v>7875000</v>
      </c>
    </row>
    <row r="131" spans="1:5" x14ac:dyDescent="0.3">
      <c r="A131" s="1">
        <v>43871</v>
      </c>
      <c r="B131" t="s">
        <v>89</v>
      </c>
      <c r="C131" t="s">
        <v>4</v>
      </c>
      <c r="D131" s="2">
        <v>1500</v>
      </c>
      <c r="E131" s="3">
        <v>15750000</v>
      </c>
    </row>
    <row r="132" spans="1:5" x14ac:dyDescent="0.3">
      <c r="A132" s="1">
        <v>43871</v>
      </c>
      <c r="B132" t="s">
        <v>85</v>
      </c>
      <c r="C132" t="s">
        <v>4</v>
      </c>
      <c r="D132" s="2">
        <v>1500</v>
      </c>
      <c r="E132" s="3">
        <v>15750000</v>
      </c>
    </row>
    <row r="133" spans="1:5" x14ac:dyDescent="0.3">
      <c r="A133" s="1">
        <v>43871</v>
      </c>
      <c r="B133" t="s">
        <v>98</v>
      </c>
      <c r="C133" t="s">
        <v>4</v>
      </c>
      <c r="D133" s="2">
        <v>8000</v>
      </c>
      <c r="E133" s="3">
        <v>84000000</v>
      </c>
    </row>
    <row r="134" spans="1:5" x14ac:dyDescent="0.3">
      <c r="A134" s="1">
        <v>43872</v>
      </c>
      <c r="B134" t="s">
        <v>38</v>
      </c>
      <c r="C134" t="s">
        <v>4</v>
      </c>
      <c r="D134" s="2">
        <v>750</v>
      </c>
      <c r="E134" s="3">
        <v>7367250</v>
      </c>
    </row>
    <row r="135" spans="1:5" x14ac:dyDescent="0.3">
      <c r="A135" s="1">
        <v>43872</v>
      </c>
      <c r="B135" t="s">
        <v>38</v>
      </c>
      <c r="C135" t="s">
        <v>5</v>
      </c>
      <c r="D135" s="2">
        <v>20</v>
      </c>
      <c r="E135" s="3">
        <v>1400000</v>
      </c>
    </row>
    <row r="136" spans="1:5" x14ac:dyDescent="0.3">
      <c r="A136" s="1">
        <v>43872</v>
      </c>
      <c r="B136" t="s">
        <v>38</v>
      </c>
      <c r="C136" t="s">
        <v>6</v>
      </c>
      <c r="D136" s="2">
        <v>60</v>
      </c>
      <c r="E136" s="3">
        <v>714000</v>
      </c>
    </row>
    <row r="137" spans="1:5" x14ac:dyDescent="0.3">
      <c r="A137" s="1">
        <v>43872</v>
      </c>
      <c r="B137" t="s">
        <v>38</v>
      </c>
      <c r="C137" t="s">
        <v>7</v>
      </c>
      <c r="D137" s="2">
        <v>20</v>
      </c>
      <c r="E137" s="3">
        <v>166000</v>
      </c>
    </row>
    <row r="138" spans="1:5" x14ac:dyDescent="0.3">
      <c r="A138" s="1">
        <v>43873</v>
      </c>
      <c r="B138" t="s">
        <v>39</v>
      </c>
      <c r="C138" t="s">
        <v>4</v>
      </c>
      <c r="D138" s="2">
        <v>1000</v>
      </c>
      <c r="E138" s="3">
        <v>9823000</v>
      </c>
    </row>
    <row r="139" spans="1:5" x14ac:dyDescent="0.3">
      <c r="A139" s="1">
        <v>43873</v>
      </c>
      <c r="B139" t="s">
        <v>39</v>
      </c>
      <c r="C139" t="s">
        <v>5</v>
      </c>
      <c r="D139" s="2">
        <v>20</v>
      </c>
      <c r="E139" s="3">
        <v>1400000</v>
      </c>
    </row>
    <row r="140" spans="1:5" x14ac:dyDescent="0.3">
      <c r="A140" s="1">
        <v>43874</v>
      </c>
      <c r="B140" t="s">
        <v>40</v>
      </c>
      <c r="C140" t="s">
        <v>4</v>
      </c>
      <c r="D140" s="2">
        <v>800</v>
      </c>
      <c r="E140" s="3">
        <v>7858400</v>
      </c>
    </row>
    <row r="141" spans="1:5" x14ac:dyDescent="0.3">
      <c r="A141" s="1">
        <v>43875</v>
      </c>
      <c r="B141" t="s">
        <v>41</v>
      </c>
      <c r="C141" t="s">
        <v>4</v>
      </c>
      <c r="D141" s="2">
        <v>850</v>
      </c>
      <c r="E141" s="3">
        <v>8349550</v>
      </c>
    </row>
    <row r="142" spans="1:5" x14ac:dyDescent="0.3">
      <c r="A142" s="1">
        <v>43878</v>
      </c>
      <c r="B142" t="s">
        <v>42</v>
      </c>
      <c r="C142" t="s">
        <v>4</v>
      </c>
      <c r="D142" s="2">
        <v>850</v>
      </c>
      <c r="E142" s="3">
        <v>8349550</v>
      </c>
    </row>
    <row r="143" spans="1:5" x14ac:dyDescent="0.3">
      <c r="A143" s="1">
        <v>43878</v>
      </c>
      <c r="B143" t="s">
        <v>42</v>
      </c>
      <c r="C143" t="s">
        <v>5</v>
      </c>
      <c r="D143" s="2">
        <v>20</v>
      </c>
      <c r="E143" s="3">
        <v>1400000</v>
      </c>
    </row>
    <row r="144" spans="1:5" x14ac:dyDescent="0.3">
      <c r="A144" s="1">
        <v>43879</v>
      </c>
      <c r="B144" t="s">
        <v>118</v>
      </c>
      <c r="C144" t="s">
        <v>4</v>
      </c>
      <c r="D144" s="2">
        <v>750</v>
      </c>
      <c r="E144" s="3">
        <v>7367250</v>
      </c>
    </row>
    <row r="145" spans="1:5" x14ac:dyDescent="0.3">
      <c r="A145" s="1">
        <v>43880</v>
      </c>
      <c r="B145" t="s">
        <v>43</v>
      </c>
      <c r="C145" t="s">
        <v>4</v>
      </c>
      <c r="D145" s="2">
        <v>850</v>
      </c>
      <c r="E145" s="3">
        <v>8349550</v>
      </c>
    </row>
    <row r="146" spans="1:5" x14ac:dyDescent="0.3">
      <c r="A146" s="1">
        <v>43880</v>
      </c>
      <c r="B146" t="s">
        <v>44</v>
      </c>
      <c r="C146" t="s">
        <v>4</v>
      </c>
      <c r="D146" s="2">
        <v>750</v>
      </c>
      <c r="E146" s="3">
        <v>7367250</v>
      </c>
    </row>
    <row r="147" spans="1:5" x14ac:dyDescent="0.3">
      <c r="A147" s="1">
        <v>43881</v>
      </c>
      <c r="B147" t="s">
        <v>119</v>
      </c>
      <c r="C147" t="s">
        <v>4</v>
      </c>
      <c r="D147" s="2">
        <v>2000</v>
      </c>
      <c r="E147" s="3">
        <v>21000000</v>
      </c>
    </row>
    <row r="148" spans="1:5" x14ac:dyDescent="0.3">
      <c r="A148" s="1">
        <v>43881</v>
      </c>
      <c r="B148" t="s">
        <v>120</v>
      </c>
      <c r="C148" t="s">
        <v>4</v>
      </c>
      <c r="D148" s="2">
        <v>8000</v>
      </c>
      <c r="E148" s="3">
        <v>84000000</v>
      </c>
    </row>
    <row r="149" spans="1:5" x14ac:dyDescent="0.3">
      <c r="A149" s="1">
        <v>43881</v>
      </c>
      <c r="B149" t="s">
        <v>107</v>
      </c>
      <c r="C149" t="s">
        <v>4</v>
      </c>
      <c r="D149" s="2">
        <v>7300</v>
      </c>
      <c r="E149" s="3">
        <v>76650000</v>
      </c>
    </row>
    <row r="150" spans="1:5" x14ac:dyDescent="0.3">
      <c r="A150" s="1">
        <v>43881</v>
      </c>
      <c r="B150" t="s">
        <v>100</v>
      </c>
      <c r="C150" t="s">
        <v>4</v>
      </c>
      <c r="D150" s="2">
        <v>15000</v>
      </c>
      <c r="E150" s="3">
        <v>157500000</v>
      </c>
    </row>
    <row r="151" spans="1:5" x14ac:dyDescent="0.3">
      <c r="A151" s="1">
        <v>43881</v>
      </c>
      <c r="B151" t="s">
        <v>116</v>
      </c>
      <c r="C151" t="s">
        <v>4</v>
      </c>
      <c r="D151" s="2">
        <v>1000</v>
      </c>
      <c r="E151" s="3">
        <v>10500000</v>
      </c>
    </row>
    <row r="152" spans="1:5" x14ac:dyDescent="0.3">
      <c r="A152" s="1">
        <v>43881</v>
      </c>
      <c r="B152" t="s">
        <v>121</v>
      </c>
      <c r="C152" t="s">
        <v>4</v>
      </c>
      <c r="D152" s="2">
        <v>6400</v>
      </c>
      <c r="E152" s="3">
        <v>67200000</v>
      </c>
    </row>
    <row r="153" spans="1:5" x14ac:dyDescent="0.3">
      <c r="A153" s="1">
        <v>43881</v>
      </c>
      <c r="B153" t="s">
        <v>122</v>
      </c>
      <c r="C153" t="s">
        <v>4</v>
      </c>
      <c r="D153" s="2">
        <v>3600</v>
      </c>
      <c r="E153" s="3">
        <v>37800000</v>
      </c>
    </row>
    <row r="154" spans="1:5" x14ac:dyDescent="0.3">
      <c r="A154" s="1">
        <v>43881</v>
      </c>
      <c r="B154" t="s">
        <v>123</v>
      </c>
      <c r="C154" t="s">
        <v>4</v>
      </c>
      <c r="D154" s="2">
        <v>4800</v>
      </c>
      <c r="E154" s="3">
        <v>50400000</v>
      </c>
    </row>
    <row r="155" spans="1:5" x14ac:dyDescent="0.3">
      <c r="A155" s="1">
        <v>43881</v>
      </c>
      <c r="B155" t="s">
        <v>124</v>
      </c>
      <c r="C155" t="s">
        <v>4</v>
      </c>
      <c r="D155" s="2">
        <v>1300</v>
      </c>
      <c r="E155" s="3">
        <v>13650000</v>
      </c>
    </row>
    <row r="156" spans="1:5" x14ac:dyDescent="0.3">
      <c r="A156" s="1">
        <v>43881</v>
      </c>
      <c r="B156" t="s">
        <v>125</v>
      </c>
      <c r="C156" t="s">
        <v>4</v>
      </c>
      <c r="D156" s="2">
        <v>1020</v>
      </c>
      <c r="E156" s="3">
        <v>10710000</v>
      </c>
    </row>
    <row r="157" spans="1:5" x14ac:dyDescent="0.3">
      <c r="A157" s="1">
        <v>43881</v>
      </c>
      <c r="B157" t="s">
        <v>126</v>
      </c>
      <c r="C157" t="s">
        <v>4</v>
      </c>
      <c r="D157" s="2">
        <v>1000</v>
      </c>
      <c r="E157" s="3">
        <v>10500000</v>
      </c>
    </row>
    <row r="158" spans="1:5" x14ac:dyDescent="0.3">
      <c r="A158" s="1">
        <v>43881</v>
      </c>
      <c r="B158" t="s">
        <v>97</v>
      </c>
      <c r="C158" t="s">
        <v>4</v>
      </c>
      <c r="D158" s="2">
        <v>5000</v>
      </c>
      <c r="E158" s="3">
        <v>52500000</v>
      </c>
    </row>
    <row r="159" spans="1:5" x14ac:dyDescent="0.3">
      <c r="A159" s="1">
        <v>43882</v>
      </c>
      <c r="B159" t="s">
        <v>113</v>
      </c>
      <c r="C159" t="s">
        <v>4</v>
      </c>
      <c r="D159" s="2">
        <v>3500</v>
      </c>
      <c r="E159" s="3">
        <v>36750000</v>
      </c>
    </row>
    <row r="160" spans="1:5" x14ac:dyDescent="0.3">
      <c r="A160" s="1">
        <v>43882</v>
      </c>
      <c r="B160" t="s">
        <v>103</v>
      </c>
      <c r="C160" t="s">
        <v>4</v>
      </c>
      <c r="D160" s="2">
        <v>18000</v>
      </c>
      <c r="E160" s="3">
        <v>189000000</v>
      </c>
    </row>
    <row r="161" spans="1:5" x14ac:dyDescent="0.3">
      <c r="A161" s="1">
        <v>43882</v>
      </c>
      <c r="B161" t="s">
        <v>117</v>
      </c>
      <c r="C161" t="s">
        <v>4</v>
      </c>
      <c r="D161" s="2">
        <v>5000</v>
      </c>
      <c r="E161" s="3">
        <v>52500000</v>
      </c>
    </row>
    <row r="162" spans="1:5" x14ac:dyDescent="0.3">
      <c r="A162" s="1">
        <v>43882</v>
      </c>
      <c r="B162" t="s">
        <v>104</v>
      </c>
      <c r="C162" t="s">
        <v>4</v>
      </c>
      <c r="D162" s="2">
        <v>4000</v>
      </c>
      <c r="E162" s="3">
        <v>42000000</v>
      </c>
    </row>
    <row r="163" spans="1:5" x14ac:dyDescent="0.3">
      <c r="A163" s="1">
        <v>43882</v>
      </c>
      <c r="B163" t="s">
        <v>127</v>
      </c>
      <c r="C163" t="s">
        <v>4</v>
      </c>
      <c r="D163" s="2">
        <v>5500</v>
      </c>
      <c r="E163" s="3">
        <v>57750000</v>
      </c>
    </row>
    <row r="164" spans="1:5" x14ac:dyDescent="0.3">
      <c r="A164" s="1">
        <v>43882</v>
      </c>
      <c r="B164" t="s">
        <v>128</v>
      </c>
      <c r="C164" t="s">
        <v>4</v>
      </c>
      <c r="D164" s="2">
        <v>2000</v>
      </c>
      <c r="E164" s="3">
        <v>21000000</v>
      </c>
    </row>
    <row r="165" spans="1:5" x14ac:dyDescent="0.3">
      <c r="A165" s="1">
        <v>43882</v>
      </c>
      <c r="B165" t="s">
        <v>129</v>
      </c>
      <c r="C165" t="s">
        <v>4</v>
      </c>
      <c r="D165" s="2">
        <v>10000</v>
      </c>
      <c r="E165" s="3">
        <v>105000000</v>
      </c>
    </row>
    <row r="166" spans="1:5" x14ac:dyDescent="0.3">
      <c r="A166" s="1">
        <v>43886</v>
      </c>
      <c r="B166" t="s">
        <v>45</v>
      </c>
      <c r="C166" t="s">
        <v>4</v>
      </c>
      <c r="D166" s="2">
        <v>700</v>
      </c>
      <c r="E166" s="3">
        <v>6876100</v>
      </c>
    </row>
    <row r="167" spans="1:5" x14ac:dyDescent="0.3">
      <c r="A167" s="1">
        <v>43886</v>
      </c>
      <c r="B167" t="s">
        <v>45</v>
      </c>
      <c r="C167" t="s">
        <v>5</v>
      </c>
      <c r="D167" s="2">
        <v>120</v>
      </c>
      <c r="E167" s="3">
        <v>8400000</v>
      </c>
    </row>
    <row r="168" spans="1:5" x14ac:dyDescent="0.3">
      <c r="A168" s="1">
        <v>43886</v>
      </c>
      <c r="B168" t="s">
        <v>45</v>
      </c>
      <c r="C168" t="s">
        <v>6</v>
      </c>
      <c r="D168" s="2">
        <v>108</v>
      </c>
      <c r="E168" s="3">
        <v>1285200</v>
      </c>
    </row>
    <row r="169" spans="1:5" x14ac:dyDescent="0.3">
      <c r="A169" s="1">
        <v>43886</v>
      </c>
      <c r="B169" t="s">
        <v>45</v>
      </c>
      <c r="C169" t="s">
        <v>7</v>
      </c>
      <c r="D169" s="2">
        <v>80</v>
      </c>
      <c r="E169" s="3">
        <v>664000</v>
      </c>
    </row>
    <row r="170" spans="1:5" x14ac:dyDescent="0.3">
      <c r="A170" s="1">
        <v>43886</v>
      </c>
      <c r="B170" t="s">
        <v>130</v>
      </c>
      <c r="C170" t="s">
        <v>4</v>
      </c>
      <c r="D170" s="2">
        <v>500</v>
      </c>
      <c r="E170" s="3">
        <v>4911500</v>
      </c>
    </row>
    <row r="171" spans="1:5" x14ac:dyDescent="0.3">
      <c r="A171" s="1">
        <v>43886</v>
      </c>
      <c r="B171" t="s">
        <v>130</v>
      </c>
      <c r="C171" t="s">
        <v>5</v>
      </c>
      <c r="D171" s="2">
        <v>80</v>
      </c>
      <c r="E171" s="3">
        <v>5600000</v>
      </c>
    </row>
    <row r="172" spans="1:5" x14ac:dyDescent="0.3">
      <c r="A172" s="1">
        <v>43886</v>
      </c>
      <c r="B172" t="s">
        <v>130</v>
      </c>
      <c r="C172" t="s">
        <v>6</v>
      </c>
      <c r="D172" s="2">
        <v>84</v>
      </c>
      <c r="E172" s="3">
        <v>999600</v>
      </c>
    </row>
    <row r="173" spans="1:5" x14ac:dyDescent="0.3">
      <c r="A173" s="1">
        <v>43886</v>
      </c>
      <c r="B173" t="s">
        <v>130</v>
      </c>
      <c r="C173" t="s">
        <v>7</v>
      </c>
      <c r="D173" s="2">
        <v>40</v>
      </c>
      <c r="E173" s="3">
        <v>332000</v>
      </c>
    </row>
    <row r="174" spans="1:5" x14ac:dyDescent="0.3">
      <c r="A174" s="1">
        <v>43886</v>
      </c>
      <c r="B174" t="s">
        <v>93</v>
      </c>
      <c r="C174" t="s">
        <v>4</v>
      </c>
      <c r="D174" s="2">
        <v>4000</v>
      </c>
      <c r="E174" s="3">
        <v>42000000</v>
      </c>
    </row>
    <row r="175" spans="1:5" x14ac:dyDescent="0.3">
      <c r="A175" s="1">
        <v>43886</v>
      </c>
      <c r="B175" t="s">
        <v>84</v>
      </c>
      <c r="C175" t="s">
        <v>4</v>
      </c>
      <c r="D175" s="2">
        <v>1000</v>
      </c>
      <c r="E175" s="3">
        <v>10500000</v>
      </c>
    </row>
    <row r="176" spans="1:5" x14ac:dyDescent="0.3">
      <c r="A176" s="1">
        <v>43886</v>
      </c>
      <c r="B176" t="s">
        <v>102</v>
      </c>
      <c r="C176" t="s">
        <v>4</v>
      </c>
      <c r="D176" s="2">
        <v>1500</v>
      </c>
      <c r="E176" s="3">
        <v>15750000</v>
      </c>
    </row>
    <row r="177" spans="1:5" x14ac:dyDescent="0.3">
      <c r="A177" s="1">
        <v>43886</v>
      </c>
      <c r="B177" t="s">
        <v>83</v>
      </c>
      <c r="C177" t="s">
        <v>4</v>
      </c>
      <c r="D177" s="2">
        <v>2600</v>
      </c>
      <c r="E177" s="3">
        <v>27300000</v>
      </c>
    </row>
    <row r="178" spans="1:5" x14ac:dyDescent="0.3">
      <c r="A178" s="1">
        <v>43886</v>
      </c>
      <c r="B178" t="s">
        <v>131</v>
      </c>
      <c r="C178" t="s">
        <v>4</v>
      </c>
      <c r="D178" s="2">
        <v>900</v>
      </c>
      <c r="E178" s="3">
        <v>9450000</v>
      </c>
    </row>
    <row r="179" spans="1:5" x14ac:dyDescent="0.3">
      <c r="A179" s="1">
        <v>43886</v>
      </c>
      <c r="B179" t="s">
        <v>132</v>
      </c>
      <c r="C179" t="s">
        <v>4</v>
      </c>
      <c r="D179" s="2">
        <v>500</v>
      </c>
      <c r="E179" s="3">
        <v>5250000</v>
      </c>
    </row>
    <row r="180" spans="1:5" x14ac:dyDescent="0.3">
      <c r="A180" s="1">
        <v>43886</v>
      </c>
      <c r="B180" t="s">
        <v>90</v>
      </c>
      <c r="C180" t="s">
        <v>4</v>
      </c>
      <c r="D180" s="2">
        <v>1000</v>
      </c>
      <c r="E180" s="3">
        <v>10500000</v>
      </c>
    </row>
    <row r="181" spans="1:5" x14ac:dyDescent="0.3">
      <c r="A181" s="1">
        <v>43886</v>
      </c>
      <c r="B181" t="s">
        <v>133</v>
      </c>
      <c r="C181" t="s">
        <v>4</v>
      </c>
      <c r="D181" s="2">
        <v>3000</v>
      </c>
      <c r="E181" s="3">
        <v>31500000</v>
      </c>
    </row>
    <row r="182" spans="1:5" x14ac:dyDescent="0.3">
      <c r="A182" s="1">
        <v>43887</v>
      </c>
      <c r="B182" t="s">
        <v>46</v>
      </c>
      <c r="C182" t="s">
        <v>4</v>
      </c>
      <c r="D182" s="2">
        <v>400</v>
      </c>
      <c r="E182" s="3">
        <v>3929200</v>
      </c>
    </row>
    <row r="183" spans="1:5" x14ac:dyDescent="0.3">
      <c r="A183" s="1">
        <v>43887</v>
      </c>
      <c r="B183" t="s">
        <v>46</v>
      </c>
      <c r="C183" t="s">
        <v>5</v>
      </c>
      <c r="D183" s="2">
        <v>140</v>
      </c>
      <c r="E183" s="3">
        <v>9800000</v>
      </c>
    </row>
    <row r="184" spans="1:5" x14ac:dyDescent="0.3">
      <c r="A184" s="1">
        <v>43887</v>
      </c>
      <c r="B184" t="s">
        <v>47</v>
      </c>
      <c r="C184" t="s">
        <v>4</v>
      </c>
      <c r="D184" s="2">
        <v>600</v>
      </c>
      <c r="E184" s="3">
        <v>5893800</v>
      </c>
    </row>
    <row r="185" spans="1:5" x14ac:dyDescent="0.3">
      <c r="A185" s="1">
        <v>43887</v>
      </c>
      <c r="B185" t="s">
        <v>47</v>
      </c>
      <c r="C185" t="s">
        <v>5</v>
      </c>
      <c r="D185" s="2">
        <v>160</v>
      </c>
      <c r="E185" s="3">
        <v>11200000</v>
      </c>
    </row>
    <row r="186" spans="1:5" x14ac:dyDescent="0.3">
      <c r="A186" s="1">
        <v>43887</v>
      </c>
      <c r="B186" t="s">
        <v>48</v>
      </c>
      <c r="C186" t="s">
        <v>4</v>
      </c>
      <c r="D186" s="2">
        <v>400</v>
      </c>
      <c r="E186" s="3">
        <v>4800000</v>
      </c>
    </row>
    <row r="187" spans="1:5" x14ac:dyDescent="0.3">
      <c r="A187" s="1">
        <v>43887</v>
      </c>
      <c r="B187" t="s">
        <v>48</v>
      </c>
      <c r="C187" t="s">
        <v>4</v>
      </c>
      <c r="D187" s="2">
        <v>160</v>
      </c>
      <c r="E187" s="3">
        <v>3680000</v>
      </c>
    </row>
    <row r="188" spans="1:5" x14ac:dyDescent="0.3">
      <c r="A188" s="1">
        <v>43888</v>
      </c>
      <c r="B188" t="s">
        <v>48</v>
      </c>
      <c r="C188" t="s">
        <v>4</v>
      </c>
      <c r="D188" s="2">
        <v>4</v>
      </c>
      <c r="E188" s="3">
        <v>92000</v>
      </c>
    </row>
    <row r="189" spans="1:5" x14ac:dyDescent="0.3">
      <c r="A189" s="1">
        <v>43888</v>
      </c>
      <c r="B189" t="s">
        <v>49</v>
      </c>
      <c r="C189" t="s">
        <v>4</v>
      </c>
      <c r="D189" s="2">
        <v>500</v>
      </c>
      <c r="E189" s="3">
        <v>4911500</v>
      </c>
    </row>
    <row r="190" spans="1:5" x14ac:dyDescent="0.3">
      <c r="A190" s="1">
        <v>43888</v>
      </c>
      <c r="B190" t="s">
        <v>49</v>
      </c>
      <c r="C190" t="s">
        <v>5</v>
      </c>
      <c r="D190" s="2">
        <v>100</v>
      </c>
      <c r="E190" s="3">
        <v>7000000</v>
      </c>
    </row>
    <row r="191" spans="1:5" x14ac:dyDescent="0.3">
      <c r="A191" s="1">
        <v>43888</v>
      </c>
      <c r="B191" t="s">
        <v>50</v>
      </c>
      <c r="C191" t="s">
        <v>4</v>
      </c>
      <c r="D191" s="2">
        <v>700</v>
      </c>
      <c r="E191" s="3">
        <v>6876100</v>
      </c>
    </row>
    <row r="192" spans="1:5" x14ac:dyDescent="0.3">
      <c r="A192" s="1">
        <v>43888</v>
      </c>
      <c r="B192" t="s">
        <v>50</v>
      </c>
      <c r="C192" t="s">
        <v>5</v>
      </c>
      <c r="D192" s="2">
        <v>120</v>
      </c>
      <c r="E192" s="3">
        <v>8400000</v>
      </c>
    </row>
    <row r="193" spans="1:5" x14ac:dyDescent="0.3">
      <c r="A193" s="1">
        <v>43888</v>
      </c>
      <c r="B193" t="s">
        <v>50</v>
      </c>
      <c r="C193" t="s">
        <v>6</v>
      </c>
      <c r="D193" s="2">
        <v>120</v>
      </c>
      <c r="E193" s="3">
        <v>1428000</v>
      </c>
    </row>
    <row r="194" spans="1:5" x14ac:dyDescent="0.3">
      <c r="A194" s="1">
        <v>43888</v>
      </c>
      <c r="B194" t="s">
        <v>50</v>
      </c>
      <c r="C194" t="s">
        <v>7</v>
      </c>
      <c r="D194" s="2">
        <v>100</v>
      </c>
      <c r="E194" s="3">
        <v>830000</v>
      </c>
    </row>
    <row r="195" spans="1:5" x14ac:dyDescent="0.3">
      <c r="A195" s="1">
        <v>43893</v>
      </c>
      <c r="B195" t="s">
        <v>51</v>
      </c>
      <c r="C195" t="s">
        <v>4</v>
      </c>
      <c r="D195" s="2">
        <v>100</v>
      </c>
      <c r="E195" s="3">
        <v>1030000</v>
      </c>
    </row>
    <row r="196" spans="1:5" x14ac:dyDescent="0.3">
      <c r="A196" s="1">
        <v>43893</v>
      </c>
      <c r="B196" t="s">
        <v>51</v>
      </c>
      <c r="C196" t="s">
        <v>4</v>
      </c>
      <c r="D196" s="2">
        <v>850</v>
      </c>
      <c r="E196" s="3">
        <v>8340200</v>
      </c>
    </row>
    <row r="197" spans="1:5" x14ac:dyDescent="0.3">
      <c r="A197" s="1">
        <v>43893</v>
      </c>
      <c r="B197" t="s">
        <v>51</v>
      </c>
      <c r="C197" t="s">
        <v>5</v>
      </c>
      <c r="D197" s="2">
        <v>40</v>
      </c>
      <c r="E197" s="3">
        <v>2800000</v>
      </c>
    </row>
    <row r="198" spans="1:5" x14ac:dyDescent="0.3">
      <c r="A198" s="1">
        <v>43893</v>
      </c>
      <c r="B198" t="s">
        <v>51</v>
      </c>
      <c r="C198" t="s">
        <v>6</v>
      </c>
      <c r="D198" s="2">
        <v>144</v>
      </c>
      <c r="E198" s="3">
        <v>1713600</v>
      </c>
    </row>
    <row r="199" spans="1:5" x14ac:dyDescent="0.3">
      <c r="A199" s="1">
        <v>43893</v>
      </c>
      <c r="B199" t="s">
        <v>52</v>
      </c>
      <c r="C199" t="s">
        <v>4</v>
      </c>
      <c r="D199" s="2">
        <v>240</v>
      </c>
      <c r="E199" s="3">
        <v>2448000</v>
      </c>
    </row>
    <row r="200" spans="1:5" x14ac:dyDescent="0.3">
      <c r="A200" s="1">
        <v>43893</v>
      </c>
      <c r="B200" t="s">
        <v>52</v>
      </c>
      <c r="C200" t="s">
        <v>4</v>
      </c>
      <c r="D200" s="2">
        <v>750</v>
      </c>
      <c r="E200" s="3">
        <v>7359000</v>
      </c>
    </row>
    <row r="201" spans="1:5" x14ac:dyDescent="0.3">
      <c r="A201" s="1">
        <v>43894</v>
      </c>
      <c r="B201" t="s">
        <v>53</v>
      </c>
      <c r="C201" t="s">
        <v>4</v>
      </c>
      <c r="D201" s="2">
        <v>300</v>
      </c>
      <c r="E201" s="3">
        <v>3060000</v>
      </c>
    </row>
    <row r="202" spans="1:5" x14ac:dyDescent="0.3">
      <c r="A202" s="1">
        <v>43894</v>
      </c>
      <c r="B202" t="s">
        <v>53</v>
      </c>
      <c r="C202" t="s">
        <v>4</v>
      </c>
      <c r="D202" s="2">
        <v>350</v>
      </c>
      <c r="E202" s="3">
        <v>3434200</v>
      </c>
    </row>
    <row r="203" spans="1:5" x14ac:dyDescent="0.3">
      <c r="A203" s="1">
        <v>43895</v>
      </c>
      <c r="B203" t="s">
        <v>54</v>
      </c>
      <c r="C203" t="s">
        <v>4</v>
      </c>
      <c r="D203" s="2">
        <v>350</v>
      </c>
      <c r="E203" s="3">
        <v>3570000</v>
      </c>
    </row>
    <row r="204" spans="1:5" x14ac:dyDescent="0.3">
      <c r="A204" s="1">
        <v>43895</v>
      </c>
      <c r="B204" t="s">
        <v>54</v>
      </c>
      <c r="C204" t="s">
        <v>5</v>
      </c>
      <c r="D204" s="2">
        <v>180</v>
      </c>
      <c r="E204" s="3">
        <v>12600000</v>
      </c>
    </row>
    <row r="205" spans="1:5" x14ac:dyDescent="0.3">
      <c r="A205" s="1">
        <v>43896</v>
      </c>
      <c r="B205" t="s">
        <v>134</v>
      </c>
      <c r="C205" t="s">
        <v>4</v>
      </c>
      <c r="D205" s="2">
        <v>300</v>
      </c>
      <c r="E205" s="3">
        <v>2943600</v>
      </c>
    </row>
    <row r="206" spans="1:5" x14ac:dyDescent="0.3">
      <c r="A206" s="1">
        <v>43896</v>
      </c>
      <c r="B206" t="s">
        <v>134</v>
      </c>
      <c r="C206" t="s">
        <v>5</v>
      </c>
      <c r="D206" s="2">
        <v>60</v>
      </c>
      <c r="E206" s="3">
        <v>4200000</v>
      </c>
    </row>
    <row r="207" spans="1:5" x14ac:dyDescent="0.3">
      <c r="A207" s="1">
        <v>43896</v>
      </c>
      <c r="B207" t="s">
        <v>12</v>
      </c>
      <c r="C207" t="s">
        <v>4</v>
      </c>
      <c r="D207" s="2">
        <v>500</v>
      </c>
      <c r="E207" s="3">
        <v>4906000</v>
      </c>
    </row>
    <row r="208" spans="1:5" x14ac:dyDescent="0.3">
      <c r="A208" s="1">
        <v>43896</v>
      </c>
      <c r="B208" t="s">
        <v>12</v>
      </c>
      <c r="C208" t="s">
        <v>5</v>
      </c>
      <c r="D208" s="2">
        <v>80</v>
      </c>
      <c r="E208" s="3">
        <v>5600000</v>
      </c>
    </row>
    <row r="209" spans="1:5" x14ac:dyDescent="0.3">
      <c r="A209" s="1">
        <v>43896</v>
      </c>
      <c r="B209" t="s">
        <v>12</v>
      </c>
      <c r="C209" t="s">
        <v>6</v>
      </c>
      <c r="D209" s="2">
        <v>72</v>
      </c>
      <c r="E209" s="3">
        <v>856800</v>
      </c>
    </row>
    <row r="210" spans="1:5" x14ac:dyDescent="0.3">
      <c r="A210" s="1">
        <v>43896</v>
      </c>
      <c r="B210" t="s">
        <v>12</v>
      </c>
      <c r="C210" t="s">
        <v>7</v>
      </c>
      <c r="D210" s="2">
        <v>40</v>
      </c>
      <c r="E210" s="3">
        <v>332000</v>
      </c>
    </row>
    <row r="211" spans="1:5" x14ac:dyDescent="0.3">
      <c r="A211" s="1">
        <v>43896</v>
      </c>
      <c r="B211" t="s">
        <v>113</v>
      </c>
      <c r="C211" t="s">
        <v>4</v>
      </c>
      <c r="D211" s="2">
        <v>2000</v>
      </c>
      <c r="E211" s="3">
        <v>21000000</v>
      </c>
    </row>
    <row r="212" spans="1:5" x14ac:dyDescent="0.3">
      <c r="A212" s="1">
        <v>43896</v>
      </c>
      <c r="B212" t="s">
        <v>84</v>
      </c>
      <c r="C212" t="s">
        <v>4</v>
      </c>
      <c r="D212" s="2">
        <v>1000</v>
      </c>
      <c r="E212" s="3">
        <v>10500000</v>
      </c>
    </row>
    <row r="213" spans="1:5" x14ac:dyDescent="0.3">
      <c r="A213" s="1">
        <v>43896</v>
      </c>
      <c r="B213" t="s">
        <v>97</v>
      </c>
      <c r="C213" t="s">
        <v>4</v>
      </c>
      <c r="D213" s="2">
        <v>4000</v>
      </c>
      <c r="E213" s="3">
        <v>42000000</v>
      </c>
    </row>
    <row r="214" spans="1:5" x14ac:dyDescent="0.3">
      <c r="A214" s="1">
        <v>43899</v>
      </c>
      <c r="B214" t="s">
        <v>55</v>
      </c>
      <c r="C214" t="s">
        <v>4</v>
      </c>
      <c r="D214" s="2">
        <v>150</v>
      </c>
      <c r="E214" s="3">
        <v>1530000</v>
      </c>
    </row>
    <row r="215" spans="1:5" x14ac:dyDescent="0.3">
      <c r="A215" s="1">
        <v>43899</v>
      </c>
      <c r="B215" t="s">
        <v>55</v>
      </c>
      <c r="C215" t="s">
        <v>4</v>
      </c>
      <c r="D215" s="2">
        <v>650</v>
      </c>
      <c r="E215" s="3">
        <v>6377800</v>
      </c>
    </row>
    <row r="216" spans="1:5" x14ac:dyDescent="0.3">
      <c r="A216" s="1">
        <v>43899</v>
      </c>
      <c r="B216" t="s">
        <v>55</v>
      </c>
      <c r="C216" t="s">
        <v>5</v>
      </c>
      <c r="D216" s="2">
        <v>20</v>
      </c>
      <c r="E216" s="3">
        <v>1400000</v>
      </c>
    </row>
    <row r="217" spans="1:5" x14ac:dyDescent="0.3">
      <c r="A217" s="1">
        <v>43899</v>
      </c>
      <c r="B217" t="s">
        <v>10</v>
      </c>
      <c r="C217" t="s">
        <v>4</v>
      </c>
      <c r="D217" s="2">
        <v>700</v>
      </c>
      <c r="E217" s="3">
        <v>6868400</v>
      </c>
    </row>
    <row r="218" spans="1:5" x14ac:dyDescent="0.3">
      <c r="A218" s="1">
        <v>43899</v>
      </c>
      <c r="B218" t="s">
        <v>10</v>
      </c>
      <c r="C218" t="s">
        <v>5</v>
      </c>
      <c r="D218" s="2">
        <v>40</v>
      </c>
      <c r="E218" s="3">
        <v>2800000</v>
      </c>
    </row>
    <row r="219" spans="1:5" x14ac:dyDescent="0.3">
      <c r="A219" s="1">
        <v>43900</v>
      </c>
      <c r="B219" t="s">
        <v>129</v>
      </c>
      <c r="C219" t="s">
        <v>4</v>
      </c>
      <c r="D219" s="2">
        <v>10000</v>
      </c>
      <c r="E219" s="3">
        <v>105000000</v>
      </c>
    </row>
    <row r="220" spans="1:5" x14ac:dyDescent="0.3">
      <c r="A220" s="1">
        <v>43900</v>
      </c>
      <c r="B220" t="s">
        <v>96</v>
      </c>
      <c r="C220" t="s">
        <v>4</v>
      </c>
      <c r="D220" s="2">
        <v>750</v>
      </c>
      <c r="E220" s="3">
        <v>7875000</v>
      </c>
    </row>
    <row r="221" spans="1:5" x14ac:dyDescent="0.3">
      <c r="A221" s="1">
        <v>43900</v>
      </c>
      <c r="B221" t="s">
        <v>135</v>
      </c>
      <c r="C221" t="s">
        <v>4</v>
      </c>
      <c r="D221" s="2">
        <v>510</v>
      </c>
      <c r="E221" s="3">
        <v>5355000</v>
      </c>
    </row>
    <row r="222" spans="1:5" x14ac:dyDescent="0.3">
      <c r="A222" s="1">
        <v>43900</v>
      </c>
      <c r="B222" t="s">
        <v>136</v>
      </c>
      <c r="C222" t="s">
        <v>4</v>
      </c>
      <c r="D222" s="2">
        <v>1000</v>
      </c>
      <c r="E222" s="3">
        <v>10500000</v>
      </c>
    </row>
    <row r="223" spans="1:5" x14ac:dyDescent="0.3">
      <c r="A223" s="1">
        <v>43900</v>
      </c>
      <c r="B223" t="s">
        <v>98</v>
      </c>
      <c r="C223" t="s">
        <v>4</v>
      </c>
      <c r="D223" s="2">
        <v>8000</v>
      </c>
      <c r="E223" s="3">
        <v>84000000</v>
      </c>
    </row>
    <row r="224" spans="1:5" x14ac:dyDescent="0.3">
      <c r="A224" s="1">
        <v>43901</v>
      </c>
      <c r="B224" t="s">
        <v>137</v>
      </c>
      <c r="C224" t="s">
        <v>4</v>
      </c>
      <c r="D224" s="2">
        <v>20460</v>
      </c>
      <c r="E224" s="3">
        <v>214830000</v>
      </c>
    </row>
    <row r="225" spans="1:5" x14ac:dyDescent="0.3">
      <c r="A225" s="1">
        <v>43901</v>
      </c>
      <c r="B225" t="s">
        <v>104</v>
      </c>
      <c r="C225" t="s">
        <v>4</v>
      </c>
      <c r="D225" s="2">
        <v>4000</v>
      </c>
      <c r="E225" s="3">
        <v>42000000</v>
      </c>
    </row>
    <row r="226" spans="1:5" x14ac:dyDescent="0.3">
      <c r="A226" s="1">
        <v>43901</v>
      </c>
      <c r="B226" t="s">
        <v>92</v>
      </c>
      <c r="C226" t="s">
        <v>4</v>
      </c>
      <c r="D226" s="2">
        <v>900</v>
      </c>
      <c r="E226" s="3">
        <v>8830800</v>
      </c>
    </row>
    <row r="227" spans="1:5" x14ac:dyDescent="0.3">
      <c r="A227" s="1">
        <v>43901</v>
      </c>
      <c r="B227" t="s">
        <v>92</v>
      </c>
      <c r="C227" t="s">
        <v>6</v>
      </c>
      <c r="D227" s="2">
        <v>84</v>
      </c>
      <c r="E227" s="3">
        <v>999600</v>
      </c>
    </row>
    <row r="228" spans="1:5" x14ac:dyDescent="0.3">
      <c r="A228" s="1">
        <v>43901</v>
      </c>
      <c r="B228" t="s">
        <v>92</v>
      </c>
      <c r="C228" t="s">
        <v>7</v>
      </c>
      <c r="D228" s="2">
        <v>40</v>
      </c>
      <c r="E228" s="3">
        <v>332000</v>
      </c>
    </row>
    <row r="229" spans="1:5" x14ac:dyDescent="0.3">
      <c r="A229" s="1">
        <v>43901</v>
      </c>
      <c r="B229" t="s">
        <v>138</v>
      </c>
      <c r="C229" t="s">
        <v>4</v>
      </c>
      <c r="D229" s="2">
        <v>700</v>
      </c>
      <c r="E229" s="3">
        <v>6868400</v>
      </c>
    </row>
    <row r="230" spans="1:5" x14ac:dyDescent="0.3">
      <c r="A230" s="1">
        <v>43901</v>
      </c>
      <c r="B230" t="s">
        <v>138</v>
      </c>
      <c r="C230" t="s">
        <v>6</v>
      </c>
      <c r="D230" s="2">
        <v>300</v>
      </c>
      <c r="E230" s="3">
        <v>3570000</v>
      </c>
    </row>
    <row r="231" spans="1:5" x14ac:dyDescent="0.3">
      <c r="A231" s="1">
        <v>43902</v>
      </c>
      <c r="B231" t="s">
        <v>25</v>
      </c>
      <c r="C231" t="s">
        <v>4</v>
      </c>
      <c r="D231" s="2">
        <v>800</v>
      </c>
      <c r="E231" s="3">
        <v>7849600</v>
      </c>
    </row>
    <row r="232" spans="1:5" x14ac:dyDescent="0.3">
      <c r="A232" s="1">
        <v>43902</v>
      </c>
      <c r="B232" t="s">
        <v>25</v>
      </c>
      <c r="C232" t="s">
        <v>5</v>
      </c>
      <c r="D232" s="2">
        <v>20</v>
      </c>
      <c r="E232" s="3">
        <v>1400000</v>
      </c>
    </row>
    <row r="233" spans="1:5" x14ac:dyDescent="0.3">
      <c r="A233" s="1">
        <v>43902</v>
      </c>
      <c r="B233" t="s">
        <v>25</v>
      </c>
      <c r="C233" t="s">
        <v>7</v>
      </c>
      <c r="D233" s="2">
        <v>140</v>
      </c>
      <c r="E233" s="3">
        <v>1162000</v>
      </c>
    </row>
    <row r="234" spans="1:5" x14ac:dyDescent="0.3">
      <c r="A234" s="1">
        <v>43903</v>
      </c>
      <c r="B234" t="s">
        <v>87</v>
      </c>
      <c r="C234" t="s">
        <v>4</v>
      </c>
      <c r="D234" s="2">
        <v>750</v>
      </c>
      <c r="E234" s="3">
        <v>7875000</v>
      </c>
    </row>
    <row r="235" spans="1:5" x14ac:dyDescent="0.3">
      <c r="A235" s="1">
        <v>43903</v>
      </c>
      <c r="B235" t="s">
        <v>108</v>
      </c>
      <c r="C235" t="s">
        <v>4</v>
      </c>
      <c r="D235" s="2">
        <v>1000</v>
      </c>
      <c r="E235" s="3">
        <v>10500000</v>
      </c>
    </row>
    <row r="236" spans="1:5" x14ac:dyDescent="0.3">
      <c r="A236" s="1">
        <v>43903</v>
      </c>
      <c r="B236" t="s">
        <v>89</v>
      </c>
      <c r="C236" t="s">
        <v>4</v>
      </c>
      <c r="D236" s="2">
        <v>4000</v>
      </c>
      <c r="E236" s="3">
        <v>42000000</v>
      </c>
    </row>
    <row r="237" spans="1:5" x14ac:dyDescent="0.3">
      <c r="A237" s="1">
        <v>43903</v>
      </c>
      <c r="B237" t="s">
        <v>129</v>
      </c>
      <c r="C237" t="s">
        <v>4</v>
      </c>
      <c r="D237" s="2">
        <v>15000</v>
      </c>
      <c r="E237" s="3">
        <v>157500000</v>
      </c>
    </row>
    <row r="238" spans="1:5" x14ac:dyDescent="0.3">
      <c r="A238" s="1">
        <v>43903</v>
      </c>
      <c r="B238" t="s">
        <v>137</v>
      </c>
      <c r="C238" t="s">
        <v>4</v>
      </c>
      <c r="D238" s="2">
        <v>10450</v>
      </c>
      <c r="E238" s="3">
        <v>109725000</v>
      </c>
    </row>
    <row r="239" spans="1:5" x14ac:dyDescent="0.3">
      <c r="A239" s="1">
        <v>43903</v>
      </c>
      <c r="B239" t="s">
        <v>122</v>
      </c>
      <c r="C239" t="s">
        <v>4</v>
      </c>
      <c r="D239" s="2">
        <v>7200</v>
      </c>
      <c r="E239" s="3">
        <v>75600000</v>
      </c>
    </row>
    <row r="240" spans="1:5" x14ac:dyDescent="0.3">
      <c r="A240" s="1">
        <v>43903</v>
      </c>
      <c r="B240" t="s">
        <v>121</v>
      </c>
      <c r="C240" t="s">
        <v>4</v>
      </c>
      <c r="D240" s="2">
        <v>4700</v>
      </c>
      <c r="E240" s="3">
        <v>49350000</v>
      </c>
    </row>
    <row r="241" spans="1:5" x14ac:dyDescent="0.3">
      <c r="A241" s="1">
        <v>43907</v>
      </c>
      <c r="B241" t="s">
        <v>26</v>
      </c>
      <c r="C241" t="s">
        <v>4</v>
      </c>
      <c r="D241" s="2">
        <v>900</v>
      </c>
      <c r="E241" s="3">
        <v>8840700</v>
      </c>
    </row>
    <row r="242" spans="1:5" x14ac:dyDescent="0.3">
      <c r="A242" s="1">
        <v>43907</v>
      </c>
      <c r="B242" t="s">
        <v>26</v>
      </c>
      <c r="C242" t="s">
        <v>5</v>
      </c>
      <c r="D242" s="2">
        <v>100</v>
      </c>
      <c r="E242" s="3">
        <v>7000000</v>
      </c>
    </row>
    <row r="243" spans="1:5" x14ac:dyDescent="0.3">
      <c r="A243" s="1">
        <v>43907</v>
      </c>
      <c r="B243" t="s">
        <v>26</v>
      </c>
      <c r="C243" t="s">
        <v>6</v>
      </c>
      <c r="D243" s="2">
        <v>360</v>
      </c>
      <c r="E243" s="3">
        <v>4284000</v>
      </c>
    </row>
    <row r="244" spans="1:5" x14ac:dyDescent="0.3">
      <c r="A244" s="1">
        <v>43907</v>
      </c>
      <c r="B244" t="s">
        <v>119</v>
      </c>
      <c r="C244" t="s">
        <v>4</v>
      </c>
      <c r="D244" s="2">
        <v>600</v>
      </c>
      <c r="E244" s="3">
        <v>5893800</v>
      </c>
    </row>
    <row r="245" spans="1:5" x14ac:dyDescent="0.3">
      <c r="A245" s="1">
        <v>43907</v>
      </c>
      <c r="B245" t="s">
        <v>119</v>
      </c>
      <c r="C245" t="s">
        <v>5</v>
      </c>
      <c r="D245" s="2">
        <v>60</v>
      </c>
      <c r="E245" s="3">
        <v>4200000</v>
      </c>
    </row>
    <row r="246" spans="1:5" x14ac:dyDescent="0.3">
      <c r="A246" s="1">
        <v>43907</v>
      </c>
      <c r="B246" t="s">
        <v>119</v>
      </c>
      <c r="C246" t="s">
        <v>6</v>
      </c>
      <c r="D246" s="2">
        <v>432</v>
      </c>
      <c r="E246" s="3">
        <v>5140800</v>
      </c>
    </row>
    <row r="247" spans="1:5" x14ac:dyDescent="0.3">
      <c r="A247" s="1">
        <v>43908</v>
      </c>
      <c r="B247" t="s">
        <v>139</v>
      </c>
      <c r="C247" t="s">
        <v>4</v>
      </c>
      <c r="D247" s="2">
        <v>700</v>
      </c>
      <c r="E247" s="3">
        <v>6876100</v>
      </c>
    </row>
    <row r="248" spans="1:5" x14ac:dyDescent="0.3">
      <c r="A248" s="1">
        <v>43908</v>
      </c>
      <c r="B248" t="s">
        <v>139</v>
      </c>
      <c r="C248" t="s">
        <v>5</v>
      </c>
      <c r="D248" s="2">
        <v>120</v>
      </c>
      <c r="E248" s="3">
        <v>8400000</v>
      </c>
    </row>
    <row r="249" spans="1:5" x14ac:dyDescent="0.3">
      <c r="A249" s="1">
        <v>43908</v>
      </c>
      <c r="B249" t="s">
        <v>14</v>
      </c>
      <c r="C249" t="s">
        <v>4</v>
      </c>
      <c r="D249" s="2">
        <v>500</v>
      </c>
      <c r="E249" s="3">
        <v>4911500</v>
      </c>
    </row>
    <row r="250" spans="1:5" x14ac:dyDescent="0.3">
      <c r="A250" s="1">
        <v>43908</v>
      </c>
      <c r="B250" t="s">
        <v>14</v>
      </c>
      <c r="C250" t="s">
        <v>5</v>
      </c>
      <c r="D250" s="2">
        <v>100</v>
      </c>
      <c r="E250" s="3">
        <v>7000000</v>
      </c>
    </row>
    <row r="251" spans="1:5" x14ac:dyDescent="0.3">
      <c r="A251" s="1">
        <v>43909</v>
      </c>
      <c r="B251" t="s">
        <v>100</v>
      </c>
      <c r="C251" t="s">
        <v>4</v>
      </c>
      <c r="D251" s="2">
        <v>9500</v>
      </c>
      <c r="E251" s="3">
        <v>99750000</v>
      </c>
    </row>
    <row r="252" spans="1:5" x14ac:dyDescent="0.3">
      <c r="A252" s="1">
        <v>43909</v>
      </c>
      <c r="B252" t="s">
        <v>120</v>
      </c>
      <c r="C252" t="s">
        <v>4</v>
      </c>
      <c r="D252" s="2">
        <v>7700</v>
      </c>
      <c r="E252" s="3">
        <v>80850000</v>
      </c>
    </row>
    <row r="253" spans="1:5" x14ac:dyDescent="0.3">
      <c r="A253" s="1">
        <v>43909</v>
      </c>
      <c r="B253" t="s">
        <v>90</v>
      </c>
      <c r="C253" t="s">
        <v>4</v>
      </c>
      <c r="D253" s="2">
        <v>3000</v>
      </c>
      <c r="E253" s="3">
        <v>31500000</v>
      </c>
    </row>
    <row r="254" spans="1:5" x14ac:dyDescent="0.3">
      <c r="A254" s="1">
        <v>43909</v>
      </c>
      <c r="B254" t="s">
        <v>123</v>
      </c>
      <c r="C254" t="s">
        <v>4</v>
      </c>
      <c r="D254" s="2">
        <v>8800</v>
      </c>
      <c r="E254" s="3">
        <v>92400000</v>
      </c>
    </row>
    <row r="255" spans="1:5" x14ac:dyDescent="0.3">
      <c r="A255" s="1">
        <v>43909</v>
      </c>
      <c r="B255" t="s">
        <v>104</v>
      </c>
      <c r="C255" t="s">
        <v>4</v>
      </c>
      <c r="D255" s="2">
        <v>11000</v>
      </c>
      <c r="E255" s="3">
        <v>115500000</v>
      </c>
    </row>
    <row r="256" spans="1:5" x14ac:dyDescent="0.3">
      <c r="A256" s="1">
        <v>43910</v>
      </c>
      <c r="B256" t="s">
        <v>15</v>
      </c>
      <c r="C256" t="s">
        <v>4</v>
      </c>
      <c r="D256" s="2">
        <v>300</v>
      </c>
      <c r="E256" s="3">
        <v>3060000</v>
      </c>
    </row>
    <row r="257" spans="1:5" x14ac:dyDescent="0.3">
      <c r="A257" s="1">
        <v>43910</v>
      </c>
      <c r="B257" t="s">
        <v>15</v>
      </c>
      <c r="C257" t="s">
        <v>4</v>
      </c>
      <c r="D257" s="2">
        <v>600</v>
      </c>
      <c r="E257" s="3">
        <v>5893800</v>
      </c>
    </row>
    <row r="258" spans="1:5" x14ac:dyDescent="0.3">
      <c r="A258" s="1">
        <v>43910</v>
      </c>
      <c r="B258" t="s">
        <v>17</v>
      </c>
      <c r="C258" t="s">
        <v>4</v>
      </c>
      <c r="D258" s="2">
        <v>270</v>
      </c>
      <c r="E258" s="3">
        <v>2754000</v>
      </c>
    </row>
    <row r="259" spans="1:5" x14ac:dyDescent="0.3">
      <c r="A259" s="1">
        <v>43910</v>
      </c>
      <c r="B259" t="s">
        <v>17</v>
      </c>
      <c r="C259" t="s">
        <v>4</v>
      </c>
      <c r="D259" s="2">
        <v>500</v>
      </c>
      <c r="E259" s="3">
        <v>4911500</v>
      </c>
    </row>
    <row r="260" spans="1:5" x14ac:dyDescent="0.3">
      <c r="A260" s="1">
        <v>43913</v>
      </c>
      <c r="B260" t="s">
        <v>16</v>
      </c>
      <c r="C260" t="s">
        <v>4</v>
      </c>
      <c r="D260" s="2">
        <v>100</v>
      </c>
      <c r="E260" s="3">
        <v>1030000</v>
      </c>
    </row>
    <row r="261" spans="1:5" x14ac:dyDescent="0.3">
      <c r="A261" s="1">
        <v>43913</v>
      </c>
      <c r="B261" t="s">
        <v>16</v>
      </c>
      <c r="C261" t="s">
        <v>4</v>
      </c>
      <c r="D261" s="2">
        <v>900</v>
      </c>
      <c r="E261" s="3">
        <v>8840700</v>
      </c>
    </row>
    <row r="262" spans="1:5" x14ac:dyDescent="0.3">
      <c r="A262" s="1">
        <v>43913</v>
      </c>
      <c r="B262" t="s">
        <v>16</v>
      </c>
      <c r="C262" t="s">
        <v>5</v>
      </c>
      <c r="D262" s="2">
        <v>80</v>
      </c>
      <c r="E262" s="3">
        <v>5600000</v>
      </c>
    </row>
    <row r="263" spans="1:5" x14ac:dyDescent="0.3">
      <c r="A263" s="1">
        <v>43913</v>
      </c>
      <c r="B263" t="s">
        <v>18</v>
      </c>
      <c r="C263" t="s">
        <v>4</v>
      </c>
      <c r="D263" s="2">
        <v>150</v>
      </c>
      <c r="E263" s="3">
        <v>1545000</v>
      </c>
    </row>
    <row r="264" spans="1:5" x14ac:dyDescent="0.3">
      <c r="A264" s="1">
        <v>43913</v>
      </c>
      <c r="B264" t="s">
        <v>18</v>
      </c>
      <c r="C264" t="s">
        <v>4</v>
      </c>
      <c r="D264" s="2">
        <v>700</v>
      </c>
      <c r="E264" s="3">
        <v>6876100</v>
      </c>
    </row>
    <row r="265" spans="1:5" x14ac:dyDescent="0.3">
      <c r="A265" s="1">
        <v>43913</v>
      </c>
      <c r="B265" t="s">
        <v>18</v>
      </c>
      <c r="C265" t="s">
        <v>5</v>
      </c>
      <c r="D265" s="2">
        <v>60</v>
      </c>
      <c r="E265" s="3">
        <v>4200000</v>
      </c>
    </row>
    <row r="266" spans="1:5" x14ac:dyDescent="0.3">
      <c r="A266" s="1">
        <v>43913</v>
      </c>
      <c r="B266" t="s">
        <v>48</v>
      </c>
      <c r="C266" t="s">
        <v>4</v>
      </c>
      <c r="D266" s="2">
        <v>195</v>
      </c>
      <c r="E266" s="3">
        <v>2340000</v>
      </c>
    </row>
    <row r="267" spans="1:5" x14ac:dyDescent="0.3">
      <c r="A267" s="1">
        <v>43913</v>
      </c>
      <c r="B267" t="s">
        <v>48</v>
      </c>
      <c r="C267" t="s">
        <v>4</v>
      </c>
      <c r="D267" s="2">
        <v>78</v>
      </c>
      <c r="E267" s="3">
        <v>1794000</v>
      </c>
    </row>
    <row r="268" spans="1:5" x14ac:dyDescent="0.3">
      <c r="A268" s="1">
        <v>43914</v>
      </c>
      <c r="B268" t="s">
        <v>48</v>
      </c>
      <c r="C268" t="s">
        <v>4</v>
      </c>
      <c r="D268" s="2">
        <v>2</v>
      </c>
      <c r="E268" s="3">
        <v>46000</v>
      </c>
    </row>
    <row r="269" spans="1:5" x14ac:dyDescent="0.3">
      <c r="A269" s="1">
        <v>43914</v>
      </c>
      <c r="B269" t="s">
        <v>140</v>
      </c>
      <c r="C269" t="s">
        <v>4</v>
      </c>
      <c r="D269" s="2">
        <v>500</v>
      </c>
      <c r="E269" s="3">
        <v>4911500</v>
      </c>
    </row>
    <row r="270" spans="1:5" x14ac:dyDescent="0.3">
      <c r="A270" s="1">
        <v>43914</v>
      </c>
      <c r="B270" t="s">
        <v>140</v>
      </c>
      <c r="C270" t="s">
        <v>6</v>
      </c>
      <c r="D270" s="2">
        <v>504</v>
      </c>
      <c r="E270" s="3">
        <v>5997600</v>
      </c>
    </row>
    <row r="271" spans="1:5" x14ac:dyDescent="0.3">
      <c r="A271" s="1">
        <v>43914</v>
      </c>
      <c r="B271" t="s">
        <v>127</v>
      </c>
      <c r="C271" t="s">
        <v>4</v>
      </c>
      <c r="D271" s="2">
        <v>55</v>
      </c>
      <c r="E271" s="3">
        <v>566500</v>
      </c>
    </row>
    <row r="272" spans="1:5" x14ac:dyDescent="0.3">
      <c r="A272" s="1">
        <v>43914</v>
      </c>
      <c r="B272" t="s">
        <v>127</v>
      </c>
      <c r="C272" t="s">
        <v>4</v>
      </c>
      <c r="D272" s="2">
        <v>600</v>
      </c>
      <c r="E272" s="3">
        <v>5893800</v>
      </c>
    </row>
    <row r="273" spans="1:5" x14ac:dyDescent="0.3">
      <c r="A273" s="1">
        <v>43914</v>
      </c>
      <c r="B273" t="s">
        <v>127</v>
      </c>
      <c r="C273" t="s">
        <v>6</v>
      </c>
      <c r="D273" s="2">
        <v>504</v>
      </c>
      <c r="E273" s="3">
        <v>5997600</v>
      </c>
    </row>
    <row r="274" spans="1:5" x14ac:dyDescent="0.3">
      <c r="A274" s="1">
        <v>43916</v>
      </c>
      <c r="B274" t="s">
        <v>81</v>
      </c>
      <c r="C274" t="s">
        <v>4</v>
      </c>
      <c r="D274" s="2">
        <v>600</v>
      </c>
      <c r="E274" s="3">
        <v>5893800</v>
      </c>
    </row>
    <row r="275" spans="1:5" x14ac:dyDescent="0.3">
      <c r="A275" s="1">
        <v>43916</v>
      </c>
      <c r="B275" t="s">
        <v>81</v>
      </c>
      <c r="C275" t="s">
        <v>5</v>
      </c>
      <c r="D275" s="2">
        <v>60</v>
      </c>
      <c r="E275" s="3">
        <v>4200000</v>
      </c>
    </row>
    <row r="276" spans="1:5" x14ac:dyDescent="0.3">
      <c r="A276" s="1">
        <v>43920</v>
      </c>
      <c r="B276" t="s">
        <v>19</v>
      </c>
      <c r="C276" t="s">
        <v>4</v>
      </c>
      <c r="D276" s="2">
        <v>650</v>
      </c>
      <c r="E276" s="3">
        <v>6384950</v>
      </c>
    </row>
    <row r="277" spans="1:5" x14ac:dyDescent="0.3">
      <c r="A277" s="1">
        <v>43920</v>
      </c>
      <c r="B277" t="s">
        <v>19</v>
      </c>
      <c r="C277" t="s">
        <v>5</v>
      </c>
      <c r="D277" s="2">
        <v>60</v>
      </c>
      <c r="E277" s="3">
        <v>4200000</v>
      </c>
    </row>
    <row r="278" spans="1:5" x14ac:dyDescent="0.3">
      <c r="A278" s="1">
        <v>43920</v>
      </c>
      <c r="B278" t="s">
        <v>20</v>
      </c>
      <c r="C278" t="s">
        <v>4</v>
      </c>
      <c r="D278" s="2">
        <v>750</v>
      </c>
      <c r="E278" s="3">
        <v>7367250</v>
      </c>
    </row>
    <row r="279" spans="1:5" x14ac:dyDescent="0.3">
      <c r="A279" s="1">
        <v>43920</v>
      </c>
      <c r="B279" t="s">
        <v>20</v>
      </c>
      <c r="C279" t="s">
        <v>5</v>
      </c>
      <c r="D279" s="2">
        <v>80</v>
      </c>
      <c r="E279" s="3">
        <v>5600000</v>
      </c>
    </row>
    <row r="280" spans="1:5" x14ac:dyDescent="0.3">
      <c r="A280" s="1">
        <v>43924</v>
      </c>
      <c r="B280" t="s">
        <v>109</v>
      </c>
      <c r="C280" t="s">
        <v>4</v>
      </c>
      <c r="D280" s="2">
        <v>4000</v>
      </c>
      <c r="E280" s="3">
        <v>42000000</v>
      </c>
    </row>
    <row r="281" spans="1:5" x14ac:dyDescent="0.3">
      <c r="A281" s="1">
        <v>43924</v>
      </c>
      <c r="B281" t="s">
        <v>128</v>
      </c>
      <c r="C281" t="s">
        <v>4</v>
      </c>
      <c r="D281" s="2">
        <v>3500</v>
      </c>
      <c r="E281" s="3">
        <v>36750000</v>
      </c>
    </row>
    <row r="282" spans="1:5" x14ac:dyDescent="0.3">
      <c r="A282" s="1">
        <v>43927</v>
      </c>
      <c r="B282" t="s">
        <v>86</v>
      </c>
      <c r="C282" t="s">
        <v>4</v>
      </c>
      <c r="D282" s="2">
        <v>2100</v>
      </c>
      <c r="E282" s="3">
        <v>22050000</v>
      </c>
    </row>
    <row r="283" spans="1:5" x14ac:dyDescent="0.3">
      <c r="A283" s="1">
        <v>43927</v>
      </c>
      <c r="B283" t="s">
        <v>141</v>
      </c>
      <c r="C283" t="s">
        <v>4</v>
      </c>
      <c r="D283" s="2">
        <v>1000</v>
      </c>
      <c r="E283" s="3">
        <v>10500000</v>
      </c>
    </row>
    <row r="284" spans="1:5" x14ac:dyDescent="0.3">
      <c r="A284" s="1">
        <v>43928</v>
      </c>
      <c r="B284" t="s">
        <v>137</v>
      </c>
      <c r="C284" t="s">
        <v>4</v>
      </c>
      <c r="D284" s="2">
        <v>5440</v>
      </c>
      <c r="E284" s="3">
        <v>57120000</v>
      </c>
    </row>
    <row r="285" spans="1:5" x14ac:dyDescent="0.3">
      <c r="A285" s="1">
        <v>43929</v>
      </c>
      <c r="B285" t="s">
        <v>32</v>
      </c>
      <c r="C285" t="s">
        <v>5</v>
      </c>
      <c r="D285" s="2">
        <v>200</v>
      </c>
      <c r="E285" s="3">
        <v>14000000</v>
      </c>
    </row>
    <row r="286" spans="1:5" x14ac:dyDescent="0.3">
      <c r="A286" s="1">
        <v>43929</v>
      </c>
      <c r="B286" t="s">
        <v>36</v>
      </c>
      <c r="C286" t="s">
        <v>5</v>
      </c>
      <c r="D286" s="2">
        <v>200</v>
      </c>
      <c r="E286" s="3">
        <v>14000000</v>
      </c>
    </row>
    <row r="287" spans="1:5" x14ac:dyDescent="0.3">
      <c r="A287" s="1">
        <v>43930</v>
      </c>
      <c r="B287" t="s">
        <v>93</v>
      </c>
      <c r="C287" t="s">
        <v>4</v>
      </c>
      <c r="D287" s="2">
        <v>930</v>
      </c>
      <c r="E287" s="3">
        <v>9765000</v>
      </c>
    </row>
    <row r="288" spans="1:5" x14ac:dyDescent="0.3">
      <c r="A288" s="1">
        <v>43934</v>
      </c>
      <c r="B288" t="s">
        <v>137</v>
      </c>
      <c r="C288" t="s">
        <v>4</v>
      </c>
      <c r="D288" s="2">
        <v>13650</v>
      </c>
      <c r="E288" s="3">
        <v>143325000</v>
      </c>
    </row>
    <row r="289" spans="1:5" x14ac:dyDescent="0.3">
      <c r="A289" s="1">
        <v>43934</v>
      </c>
      <c r="B289" t="s">
        <v>121</v>
      </c>
      <c r="C289" t="s">
        <v>4</v>
      </c>
      <c r="D289" s="2">
        <v>5000</v>
      </c>
      <c r="E289" s="3">
        <v>52500000</v>
      </c>
    </row>
    <row r="290" spans="1:5" x14ac:dyDescent="0.3">
      <c r="A290" s="1">
        <v>43934</v>
      </c>
      <c r="B290" t="s">
        <v>122</v>
      </c>
      <c r="C290" t="s">
        <v>4</v>
      </c>
      <c r="D290" s="2">
        <v>1800</v>
      </c>
      <c r="E290" s="3">
        <v>18900000</v>
      </c>
    </row>
    <row r="291" spans="1:5" x14ac:dyDescent="0.3">
      <c r="A291" s="1">
        <v>43935</v>
      </c>
      <c r="B291" t="s">
        <v>30</v>
      </c>
      <c r="C291" t="s">
        <v>4</v>
      </c>
      <c r="D291" s="2">
        <v>900</v>
      </c>
      <c r="E291" s="3">
        <v>8840700</v>
      </c>
    </row>
    <row r="292" spans="1:5" x14ac:dyDescent="0.3">
      <c r="A292" s="1">
        <v>43935</v>
      </c>
      <c r="B292" t="s">
        <v>30</v>
      </c>
      <c r="C292" t="s">
        <v>5</v>
      </c>
      <c r="D292" s="2">
        <v>200</v>
      </c>
      <c r="E292" s="3">
        <v>14000000</v>
      </c>
    </row>
    <row r="293" spans="1:5" x14ac:dyDescent="0.3">
      <c r="A293" s="1">
        <v>43935</v>
      </c>
      <c r="B293" t="s">
        <v>30</v>
      </c>
      <c r="C293" t="s">
        <v>6</v>
      </c>
      <c r="D293" s="2">
        <v>120</v>
      </c>
      <c r="E293" s="3">
        <v>1482000</v>
      </c>
    </row>
    <row r="294" spans="1:5" x14ac:dyDescent="0.3">
      <c r="A294" s="1">
        <v>43935</v>
      </c>
      <c r="B294" t="s">
        <v>30</v>
      </c>
      <c r="C294" t="s">
        <v>7</v>
      </c>
      <c r="D294" s="2">
        <v>140</v>
      </c>
      <c r="E294" s="3">
        <v>1120000</v>
      </c>
    </row>
    <row r="295" spans="1:5" x14ac:dyDescent="0.3">
      <c r="A295" s="1">
        <v>43935</v>
      </c>
      <c r="B295" t="s">
        <v>138</v>
      </c>
      <c r="C295" t="s">
        <v>4</v>
      </c>
      <c r="D295" s="2">
        <v>1000</v>
      </c>
      <c r="E295" s="3">
        <v>9823000</v>
      </c>
    </row>
    <row r="296" spans="1:5" x14ac:dyDescent="0.3">
      <c r="A296" s="1">
        <v>43935</v>
      </c>
      <c r="B296" t="s">
        <v>138</v>
      </c>
      <c r="C296" t="s">
        <v>5</v>
      </c>
      <c r="D296" s="2">
        <v>180</v>
      </c>
      <c r="E296" s="3">
        <v>12600000</v>
      </c>
    </row>
    <row r="297" spans="1:5" x14ac:dyDescent="0.3">
      <c r="A297" s="1">
        <v>43935</v>
      </c>
      <c r="B297" t="s">
        <v>138</v>
      </c>
      <c r="C297" t="s">
        <v>6</v>
      </c>
      <c r="D297" s="2">
        <v>984</v>
      </c>
      <c r="E297" s="3">
        <v>12152400</v>
      </c>
    </row>
    <row r="298" spans="1:5" x14ac:dyDescent="0.3">
      <c r="A298" s="1">
        <v>43935</v>
      </c>
      <c r="B298" t="s">
        <v>138</v>
      </c>
      <c r="C298" t="s">
        <v>7</v>
      </c>
      <c r="D298" s="2">
        <v>160</v>
      </c>
      <c r="E298" s="3">
        <v>1280000</v>
      </c>
    </row>
    <row r="299" spans="1:5" x14ac:dyDescent="0.3">
      <c r="A299" s="1">
        <v>43935</v>
      </c>
      <c r="B299" t="s">
        <v>56</v>
      </c>
      <c r="C299" t="s">
        <v>4</v>
      </c>
      <c r="D299" s="2">
        <v>1500</v>
      </c>
      <c r="E299" s="3">
        <v>14734500</v>
      </c>
    </row>
    <row r="300" spans="1:5" x14ac:dyDescent="0.3">
      <c r="A300" s="1">
        <v>43935</v>
      </c>
      <c r="B300" t="s">
        <v>56</v>
      </c>
      <c r="C300" t="s">
        <v>5</v>
      </c>
      <c r="D300" s="2">
        <v>100</v>
      </c>
      <c r="E300" s="3">
        <v>7000000</v>
      </c>
    </row>
    <row r="301" spans="1:5" x14ac:dyDescent="0.3">
      <c r="A301" s="1">
        <v>43935</v>
      </c>
      <c r="B301" t="s">
        <v>22</v>
      </c>
      <c r="C301" t="s">
        <v>4</v>
      </c>
      <c r="D301" s="2">
        <v>800</v>
      </c>
      <c r="E301" s="3">
        <v>7858400</v>
      </c>
    </row>
    <row r="302" spans="1:5" x14ac:dyDescent="0.3">
      <c r="A302" s="1">
        <v>43935</v>
      </c>
      <c r="B302" t="s">
        <v>22</v>
      </c>
      <c r="C302" t="s">
        <v>5</v>
      </c>
      <c r="D302" s="2">
        <v>100</v>
      </c>
      <c r="E302" s="3">
        <v>7000000</v>
      </c>
    </row>
    <row r="303" spans="1:5" x14ac:dyDescent="0.3">
      <c r="A303" s="1">
        <v>43935</v>
      </c>
      <c r="B303" t="s">
        <v>21</v>
      </c>
      <c r="C303" t="s">
        <v>4</v>
      </c>
      <c r="D303" s="2">
        <v>850</v>
      </c>
      <c r="E303" s="3">
        <v>8349550</v>
      </c>
    </row>
    <row r="304" spans="1:5" x14ac:dyDescent="0.3">
      <c r="A304" s="1">
        <v>43935</v>
      </c>
      <c r="B304" t="s">
        <v>21</v>
      </c>
      <c r="C304" t="s">
        <v>5</v>
      </c>
      <c r="D304" s="2">
        <v>80</v>
      </c>
      <c r="E304" s="3">
        <v>5600000</v>
      </c>
    </row>
    <row r="305" spans="1:5" x14ac:dyDescent="0.3">
      <c r="A305" s="1">
        <v>43935</v>
      </c>
      <c r="B305" t="s">
        <v>23</v>
      </c>
      <c r="C305" t="s">
        <v>4</v>
      </c>
      <c r="D305" s="2">
        <v>950</v>
      </c>
      <c r="E305" s="3">
        <v>9331850</v>
      </c>
    </row>
    <row r="306" spans="1:5" x14ac:dyDescent="0.3">
      <c r="A306" s="1">
        <v>43935</v>
      </c>
      <c r="B306" t="s">
        <v>23</v>
      </c>
      <c r="C306" t="s">
        <v>5</v>
      </c>
      <c r="D306" s="2">
        <v>60</v>
      </c>
      <c r="E306" s="3">
        <v>4200000</v>
      </c>
    </row>
    <row r="307" spans="1:5" x14ac:dyDescent="0.3">
      <c r="A307" s="1">
        <v>43936</v>
      </c>
      <c r="B307" t="s">
        <v>93</v>
      </c>
      <c r="C307" t="s">
        <v>4</v>
      </c>
      <c r="D307" s="2">
        <v>4150</v>
      </c>
      <c r="E307" s="3">
        <v>43575000</v>
      </c>
    </row>
    <row r="308" spans="1:5" x14ac:dyDescent="0.3">
      <c r="A308" s="1">
        <v>43936</v>
      </c>
      <c r="B308" t="s">
        <v>111</v>
      </c>
      <c r="C308" t="s">
        <v>4</v>
      </c>
      <c r="D308" s="2">
        <v>7000</v>
      </c>
      <c r="E308" s="3">
        <v>73500000</v>
      </c>
    </row>
    <row r="309" spans="1:5" x14ac:dyDescent="0.3">
      <c r="A309" s="1">
        <v>43936</v>
      </c>
      <c r="B309" t="s">
        <v>142</v>
      </c>
      <c r="C309" t="s">
        <v>4</v>
      </c>
      <c r="D309" s="2">
        <v>3400</v>
      </c>
      <c r="E309" s="3">
        <v>35700000</v>
      </c>
    </row>
    <row r="310" spans="1:5" x14ac:dyDescent="0.3">
      <c r="A310" s="1">
        <v>43937</v>
      </c>
      <c r="B310" t="s">
        <v>13</v>
      </c>
      <c r="C310" t="s">
        <v>4</v>
      </c>
      <c r="D310" s="2">
        <v>1250</v>
      </c>
      <c r="E310" s="3">
        <v>12875000</v>
      </c>
    </row>
    <row r="311" spans="1:5" x14ac:dyDescent="0.3">
      <c r="A311" s="1">
        <v>43937</v>
      </c>
      <c r="B311" t="s">
        <v>13</v>
      </c>
      <c r="C311" t="s">
        <v>6</v>
      </c>
      <c r="D311" s="2">
        <v>250</v>
      </c>
      <c r="E311" s="3">
        <v>3087500</v>
      </c>
    </row>
    <row r="312" spans="1:5" x14ac:dyDescent="0.3">
      <c r="A312" s="1">
        <v>43937</v>
      </c>
      <c r="B312" t="s">
        <v>27</v>
      </c>
      <c r="C312" t="s">
        <v>4</v>
      </c>
      <c r="D312" s="2">
        <v>400</v>
      </c>
      <c r="E312" s="3">
        <v>4120000</v>
      </c>
    </row>
    <row r="313" spans="1:5" x14ac:dyDescent="0.3">
      <c r="A313" s="1">
        <v>43937</v>
      </c>
      <c r="B313" t="s">
        <v>27</v>
      </c>
      <c r="C313" t="s">
        <v>4</v>
      </c>
      <c r="D313" s="2">
        <v>1100</v>
      </c>
      <c r="E313" s="3">
        <v>10805300</v>
      </c>
    </row>
    <row r="314" spans="1:5" x14ac:dyDescent="0.3">
      <c r="A314" s="1">
        <v>43937</v>
      </c>
      <c r="B314" t="s">
        <v>27</v>
      </c>
      <c r="C314" t="s">
        <v>5</v>
      </c>
      <c r="D314" s="2">
        <v>60</v>
      </c>
      <c r="E314" s="3">
        <v>4200000</v>
      </c>
    </row>
    <row r="315" spans="1:5" x14ac:dyDescent="0.3">
      <c r="A315" s="1">
        <v>43937</v>
      </c>
      <c r="B315" t="s">
        <v>28</v>
      </c>
      <c r="C315" t="s">
        <v>4</v>
      </c>
      <c r="D315" s="2">
        <v>350</v>
      </c>
      <c r="E315" s="3">
        <v>3605000</v>
      </c>
    </row>
    <row r="316" spans="1:5" x14ac:dyDescent="0.3">
      <c r="A316" s="1">
        <v>43937</v>
      </c>
      <c r="B316" t="s">
        <v>28</v>
      </c>
      <c r="C316" t="s">
        <v>4</v>
      </c>
      <c r="D316" s="2">
        <v>900</v>
      </c>
      <c r="E316" s="3">
        <v>8840700</v>
      </c>
    </row>
    <row r="317" spans="1:5" x14ac:dyDescent="0.3">
      <c r="A317" s="1">
        <v>43937</v>
      </c>
      <c r="B317" t="s">
        <v>28</v>
      </c>
      <c r="C317" t="s">
        <v>5</v>
      </c>
      <c r="D317" s="2">
        <v>60</v>
      </c>
      <c r="E317" s="3">
        <v>4200000</v>
      </c>
    </row>
    <row r="318" spans="1:5" x14ac:dyDescent="0.3">
      <c r="A318" s="1">
        <v>43941</v>
      </c>
      <c r="B318" t="s">
        <v>38</v>
      </c>
      <c r="C318" t="s">
        <v>4</v>
      </c>
      <c r="D318" s="2">
        <v>700</v>
      </c>
      <c r="E318" s="3">
        <v>7140000</v>
      </c>
    </row>
    <row r="319" spans="1:5" x14ac:dyDescent="0.3">
      <c r="A319" s="1">
        <v>43941</v>
      </c>
      <c r="B319" t="s">
        <v>38</v>
      </c>
      <c r="C319" t="s">
        <v>4</v>
      </c>
      <c r="D319" s="2">
        <v>800</v>
      </c>
      <c r="E319" s="3">
        <v>7858400</v>
      </c>
    </row>
    <row r="320" spans="1:5" x14ac:dyDescent="0.3">
      <c r="A320" s="1">
        <v>43941</v>
      </c>
      <c r="B320" t="s">
        <v>38</v>
      </c>
      <c r="C320" t="s">
        <v>5</v>
      </c>
      <c r="D320" s="2">
        <v>140</v>
      </c>
      <c r="E320" s="3">
        <v>9800000</v>
      </c>
    </row>
    <row r="321" spans="1:5" x14ac:dyDescent="0.3">
      <c r="A321" s="1">
        <v>43941</v>
      </c>
      <c r="B321" t="s">
        <v>38</v>
      </c>
      <c r="C321" t="s">
        <v>6</v>
      </c>
      <c r="D321" s="2">
        <v>72</v>
      </c>
      <c r="E321" s="3">
        <v>889200</v>
      </c>
    </row>
    <row r="322" spans="1:5" x14ac:dyDescent="0.3">
      <c r="A322" s="1">
        <v>43941</v>
      </c>
      <c r="B322" t="s">
        <v>38</v>
      </c>
      <c r="C322" t="s">
        <v>7</v>
      </c>
      <c r="D322" s="2">
        <v>120</v>
      </c>
      <c r="E322" s="3">
        <v>960000</v>
      </c>
    </row>
    <row r="323" spans="1:5" x14ac:dyDescent="0.3">
      <c r="A323" s="1">
        <v>43941</v>
      </c>
      <c r="B323" t="s">
        <v>41</v>
      </c>
      <c r="C323" t="s">
        <v>4</v>
      </c>
      <c r="D323" s="2">
        <v>800</v>
      </c>
      <c r="E323" s="3">
        <v>8160000</v>
      </c>
    </row>
    <row r="324" spans="1:5" x14ac:dyDescent="0.3">
      <c r="A324" s="1">
        <v>43941</v>
      </c>
      <c r="B324" t="s">
        <v>41</v>
      </c>
      <c r="C324" t="s">
        <v>4</v>
      </c>
      <c r="D324" s="2">
        <v>750</v>
      </c>
      <c r="E324" s="3">
        <v>7367250</v>
      </c>
    </row>
    <row r="325" spans="1:5" x14ac:dyDescent="0.3">
      <c r="A325" s="1">
        <v>43941</v>
      </c>
      <c r="B325" t="s">
        <v>41</v>
      </c>
      <c r="C325" t="s">
        <v>5</v>
      </c>
      <c r="D325" s="2">
        <v>160</v>
      </c>
      <c r="E325" s="3">
        <v>11200000</v>
      </c>
    </row>
    <row r="326" spans="1:5" x14ac:dyDescent="0.3">
      <c r="A326" s="1">
        <v>43941</v>
      </c>
      <c r="B326" t="s">
        <v>41</v>
      </c>
      <c r="C326" t="s">
        <v>6</v>
      </c>
      <c r="D326" s="2">
        <v>74</v>
      </c>
      <c r="E326" s="3">
        <v>913900</v>
      </c>
    </row>
    <row r="327" spans="1:5" x14ac:dyDescent="0.3">
      <c r="A327" s="1">
        <v>43941</v>
      </c>
      <c r="B327" t="s">
        <v>41</v>
      </c>
      <c r="C327" t="s">
        <v>7</v>
      </c>
      <c r="D327" s="2">
        <v>330</v>
      </c>
      <c r="E327" s="3">
        <v>2640000</v>
      </c>
    </row>
    <row r="328" spans="1:5" x14ac:dyDescent="0.3">
      <c r="A328" s="1">
        <v>43941</v>
      </c>
      <c r="B328" t="s">
        <v>40</v>
      </c>
      <c r="C328" t="s">
        <v>4</v>
      </c>
      <c r="D328" s="2">
        <v>550</v>
      </c>
      <c r="E328" s="3">
        <v>5610000</v>
      </c>
    </row>
    <row r="329" spans="1:5" x14ac:dyDescent="0.3">
      <c r="A329" s="1">
        <v>43941</v>
      </c>
      <c r="B329" t="s">
        <v>40</v>
      </c>
      <c r="C329" t="s">
        <v>4</v>
      </c>
      <c r="D329" s="2">
        <v>250</v>
      </c>
      <c r="E329" s="3">
        <v>2455750</v>
      </c>
    </row>
    <row r="330" spans="1:5" x14ac:dyDescent="0.3">
      <c r="A330" s="1">
        <v>43941</v>
      </c>
      <c r="B330" t="s">
        <v>40</v>
      </c>
      <c r="C330" t="s">
        <v>5</v>
      </c>
      <c r="D330" s="2">
        <v>20</v>
      </c>
      <c r="E330" s="3">
        <v>1400000</v>
      </c>
    </row>
    <row r="331" spans="1:5" x14ac:dyDescent="0.3">
      <c r="A331" s="1">
        <v>43941</v>
      </c>
      <c r="B331" t="s">
        <v>40</v>
      </c>
      <c r="C331" t="s">
        <v>5</v>
      </c>
      <c r="D331" s="2">
        <v>80</v>
      </c>
      <c r="E331" s="3">
        <v>5600000</v>
      </c>
    </row>
    <row r="332" spans="1:5" x14ac:dyDescent="0.3">
      <c r="A332" s="1">
        <v>43941</v>
      </c>
      <c r="B332" t="s">
        <v>42</v>
      </c>
      <c r="C332" t="s">
        <v>4</v>
      </c>
      <c r="D332" s="2">
        <v>450</v>
      </c>
      <c r="E332" s="3">
        <v>4590000</v>
      </c>
    </row>
    <row r="333" spans="1:5" x14ac:dyDescent="0.3">
      <c r="A333" s="1">
        <v>43941</v>
      </c>
      <c r="B333" t="s">
        <v>42</v>
      </c>
      <c r="C333" t="s">
        <v>4</v>
      </c>
      <c r="D333" s="2">
        <v>200</v>
      </c>
      <c r="E333" s="3">
        <v>1964600</v>
      </c>
    </row>
    <row r="334" spans="1:5" x14ac:dyDescent="0.3">
      <c r="A334" s="1">
        <v>43941</v>
      </c>
      <c r="B334" t="s">
        <v>42</v>
      </c>
      <c r="C334" t="s">
        <v>5</v>
      </c>
      <c r="D334" s="2">
        <v>100</v>
      </c>
      <c r="E334" s="3">
        <v>7000000</v>
      </c>
    </row>
    <row r="335" spans="1:5" x14ac:dyDescent="0.3">
      <c r="A335" s="1">
        <v>43943</v>
      </c>
      <c r="B335" t="s">
        <v>57</v>
      </c>
      <c r="C335" t="s">
        <v>5</v>
      </c>
      <c r="D335" s="2">
        <v>400</v>
      </c>
      <c r="E335" s="3">
        <v>28000000</v>
      </c>
    </row>
    <row r="336" spans="1:5" x14ac:dyDescent="0.3">
      <c r="A336" s="1">
        <v>43943</v>
      </c>
      <c r="B336" t="s">
        <v>58</v>
      </c>
      <c r="C336" t="s">
        <v>5</v>
      </c>
      <c r="D336" s="2">
        <v>100</v>
      </c>
      <c r="E336" s="3">
        <v>7000000</v>
      </c>
    </row>
    <row r="337" spans="1:5" x14ac:dyDescent="0.3">
      <c r="A337" s="1">
        <v>43945</v>
      </c>
      <c r="B337" t="s">
        <v>105</v>
      </c>
      <c r="C337" t="s">
        <v>5</v>
      </c>
      <c r="D337" s="2">
        <v>200</v>
      </c>
      <c r="E337" s="3">
        <v>14000000</v>
      </c>
    </row>
    <row r="338" spans="1:5" x14ac:dyDescent="0.3">
      <c r="A338" s="1">
        <v>43945</v>
      </c>
      <c r="B338" t="s">
        <v>12</v>
      </c>
      <c r="C338" t="s">
        <v>5</v>
      </c>
      <c r="D338" s="2">
        <v>200</v>
      </c>
      <c r="E338" s="3">
        <v>14000000</v>
      </c>
    </row>
    <row r="339" spans="1:5" x14ac:dyDescent="0.3">
      <c r="A339" s="1">
        <v>43945</v>
      </c>
      <c r="B339" t="s">
        <v>92</v>
      </c>
      <c r="C339" t="s">
        <v>5</v>
      </c>
      <c r="D339" s="2">
        <v>200</v>
      </c>
      <c r="E339" s="3">
        <v>14000000</v>
      </c>
    </row>
    <row r="340" spans="1:5" x14ac:dyDescent="0.3">
      <c r="A340" s="1">
        <v>43945</v>
      </c>
      <c r="B340" t="s">
        <v>30</v>
      </c>
      <c r="C340" t="s">
        <v>5</v>
      </c>
      <c r="D340" s="2">
        <v>200</v>
      </c>
      <c r="E340" s="3">
        <v>14000000</v>
      </c>
    </row>
    <row r="341" spans="1:5" x14ac:dyDescent="0.3">
      <c r="A341" s="1">
        <v>43945</v>
      </c>
      <c r="B341" t="s">
        <v>25</v>
      </c>
      <c r="C341" t="s">
        <v>5</v>
      </c>
      <c r="D341" s="2">
        <v>200</v>
      </c>
      <c r="E341" s="3">
        <v>14000000</v>
      </c>
    </row>
    <row r="342" spans="1:5" x14ac:dyDescent="0.3">
      <c r="A342" s="1">
        <v>43945</v>
      </c>
      <c r="B342" t="s">
        <v>57</v>
      </c>
      <c r="C342" t="s">
        <v>5</v>
      </c>
      <c r="D342" s="2">
        <v>300</v>
      </c>
      <c r="E342" s="3">
        <v>21000000</v>
      </c>
    </row>
    <row r="343" spans="1:5" x14ac:dyDescent="0.3">
      <c r="A343" s="1">
        <v>43949</v>
      </c>
      <c r="B343" t="s">
        <v>106</v>
      </c>
      <c r="C343" t="s">
        <v>4</v>
      </c>
      <c r="D343" s="2">
        <v>120</v>
      </c>
      <c r="E343" s="3">
        <v>1236000</v>
      </c>
    </row>
    <row r="344" spans="1:5" x14ac:dyDescent="0.3">
      <c r="A344" s="1">
        <v>43949</v>
      </c>
      <c r="B344" t="s">
        <v>106</v>
      </c>
      <c r="C344" t="s">
        <v>4</v>
      </c>
      <c r="D344" s="2">
        <v>4</v>
      </c>
      <c r="E344" s="3">
        <v>92000</v>
      </c>
    </row>
    <row r="345" spans="1:5" x14ac:dyDescent="0.3">
      <c r="A345" s="1">
        <v>43949</v>
      </c>
      <c r="B345" t="s">
        <v>106</v>
      </c>
      <c r="C345" t="s">
        <v>5</v>
      </c>
      <c r="D345" s="2">
        <v>200</v>
      </c>
      <c r="E345" s="3">
        <v>14000000</v>
      </c>
    </row>
    <row r="346" spans="1:5" x14ac:dyDescent="0.3">
      <c r="A346" s="1">
        <v>43949</v>
      </c>
      <c r="B346" t="s">
        <v>106</v>
      </c>
      <c r="C346" t="s">
        <v>6</v>
      </c>
      <c r="D346" s="2">
        <v>480</v>
      </c>
      <c r="E346" s="3">
        <v>5928000</v>
      </c>
    </row>
    <row r="347" spans="1:5" x14ac:dyDescent="0.3">
      <c r="A347" s="1">
        <v>43949</v>
      </c>
      <c r="B347" t="s">
        <v>106</v>
      </c>
      <c r="C347" t="s">
        <v>7</v>
      </c>
      <c r="D347" s="2">
        <v>240</v>
      </c>
      <c r="E347" s="3">
        <v>1920000</v>
      </c>
    </row>
    <row r="348" spans="1:5" x14ac:dyDescent="0.3">
      <c r="A348" s="1">
        <v>43949</v>
      </c>
      <c r="B348" t="s">
        <v>29</v>
      </c>
      <c r="C348" t="s">
        <v>5</v>
      </c>
      <c r="D348" s="2">
        <v>180</v>
      </c>
      <c r="E348" s="3">
        <v>12600000</v>
      </c>
    </row>
    <row r="349" spans="1:5" x14ac:dyDescent="0.3">
      <c r="A349" s="1">
        <v>43949</v>
      </c>
      <c r="B349" t="s">
        <v>31</v>
      </c>
      <c r="C349" t="s">
        <v>5</v>
      </c>
      <c r="D349" s="2">
        <v>350</v>
      </c>
      <c r="E349" s="3">
        <v>24500000</v>
      </c>
    </row>
    <row r="350" spans="1:5" x14ac:dyDescent="0.3">
      <c r="A350" s="1">
        <v>43949</v>
      </c>
      <c r="B350" t="s">
        <v>31</v>
      </c>
      <c r="C350" t="s">
        <v>6</v>
      </c>
      <c r="D350" s="2">
        <v>420</v>
      </c>
      <c r="E350" s="3">
        <v>5187000</v>
      </c>
    </row>
    <row r="351" spans="1:5" x14ac:dyDescent="0.3">
      <c r="A351" s="1">
        <v>43949</v>
      </c>
      <c r="B351" t="s">
        <v>31</v>
      </c>
      <c r="C351" t="s">
        <v>7</v>
      </c>
      <c r="D351" s="2">
        <v>60</v>
      </c>
      <c r="E351" s="3">
        <v>480000</v>
      </c>
    </row>
    <row r="352" spans="1:5" x14ac:dyDescent="0.3">
      <c r="A352" s="1">
        <v>43949</v>
      </c>
      <c r="B352" t="s">
        <v>97</v>
      </c>
      <c r="C352" t="s">
        <v>5</v>
      </c>
      <c r="D352" s="2">
        <v>100</v>
      </c>
      <c r="E352" s="3">
        <v>7000000</v>
      </c>
    </row>
    <row r="353" spans="1:5" x14ac:dyDescent="0.3">
      <c r="A353" s="1">
        <v>43949</v>
      </c>
      <c r="B353" t="s">
        <v>97</v>
      </c>
      <c r="C353" t="s">
        <v>6</v>
      </c>
      <c r="D353" s="2">
        <v>900</v>
      </c>
      <c r="E353" s="3">
        <v>11115000</v>
      </c>
    </row>
    <row r="354" spans="1:5" x14ac:dyDescent="0.3">
      <c r="A354" s="1">
        <v>43949</v>
      </c>
      <c r="B354" t="s">
        <v>97</v>
      </c>
      <c r="C354" t="s">
        <v>7</v>
      </c>
      <c r="D354" s="2">
        <v>450</v>
      </c>
      <c r="E354" s="3">
        <v>3600000</v>
      </c>
    </row>
    <row r="355" spans="1:5" x14ac:dyDescent="0.3">
      <c r="A355" s="1">
        <v>43949</v>
      </c>
      <c r="B355" t="s">
        <v>49</v>
      </c>
      <c r="C355" t="s">
        <v>5</v>
      </c>
      <c r="D355" s="2">
        <v>220</v>
      </c>
      <c r="E355" s="3">
        <v>15400000</v>
      </c>
    </row>
    <row r="356" spans="1:5" x14ac:dyDescent="0.3">
      <c r="A356" s="1">
        <v>43949</v>
      </c>
      <c r="B356" t="s">
        <v>47</v>
      </c>
      <c r="C356" t="s">
        <v>5</v>
      </c>
      <c r="D356" s="2">
        <v>300</v>
      </c>
      <c r="E356" s="3">
        <v>21000000</v>
      </c>
    </row>
    <row r="357" spans="1:5" x14ac:dyDescent="0.3">
      <c r="A357" s="1">
        <v>43949</v>
      </c>
      <c r="B357" t="s">
        <v>48</v>
      </c>
      <c r="C357" t="s">
        <v>4</v>
      </c>
      <c r="D357" s="2">
        <v>380</v>
      </c>
      <c r="E357" s="3">
        <v>4560000</v>
      </c>
    </row>
    <row r="358" spans="1:5" x14ac:dyDescent="0.3">
      <c r="A358" s="1">
        <v>43949</v>
      </c>
      <c r="B358" t="s">
        <v>48</v>
      </c>
      <c r="C358" t="s">
        <v>4</v>
      </c>
      <c r="D358" s="2">
        <v>152</v>
      </c>
      <c r="E358" s="3">
        <v>3496000</v>
      </c>
    </row>
    <row r="359" spans="1:5" x14ac:dyDescent="0.3">
      <c r="A359" s="1">
        <v>43949</v>
      </c>
      <c r="B359" t="s">
        <v>48</v>
      </c>
      <c r="C359" t="s">
        <v>4</v>
      </c>
      <c r="D359" s="2">
        <v>4</v>
      </c>
      <c r="E359" s="3">
        <v>92000</v>
      </c>
    </row>
    <row r="360" spans="1:5" x14ac:dyDescent="0.3">
      <c r="A360" s="1">
        <v>43950</v>
      </c>
      <c r="B360" t="s">
        <v>118</v>
      </c>
      <c r="C360" t="s">
        <v>5</v>
      </c>
      <c r="D360" s="2">
        <v>170</v>
      </c>
      <c r="E360" s="3">
        <v>11900000</v>
      </c>
    </row>
    <row r="361" spans="1:5" x14ac:dyDescent="0.3">
      <c r="A361" s="1">
        <v>43950</v>
      </c>
      <c r="B361" t="s">
        <v>39</v>
      </c>
      <c r="C361" t="s">
        <v>5</v>
      </c>
      <c r="D361" s="2">
        <v>180</v>
      </c>
      <c r="E361" s="3">
        <v>12600000</v>
      </c>
    </row>
    <row r="362" spans="1:5" x14ac:dyDescent="0.3">
      <c r="A362" s="1">
        <v>43950</v>
      </c>
      <c r="B362" t="s">
        <v>43</v>
      </c>
      <c r="C362" t="s">
        <v>5</v>
      </c>
      <c r="D362" s="2">
        <v>220</v>
      </c>
      <c r="E362" s="3">
        <v>15400000</v>
      </c>
    </row>
    <row r="363" spans="1:5" x14ac:dyDescent="0.3">
      <c r="A363" s="1">
        <v>43950</v>
      </c>
      <c r="B363" t="s">
        <v>44</v>
      </c>
      <c r="C363" t="s">
        <v>5</v>
      </c>
      <c r="D363" s="2">
        <v>100</v>
      </c>
      <c r="E363" s="3">
        <v>7000000</v>
      </c>
    </row>
    <row r="364" spans="1:5" x14ac:dyDescent="0.3">
      <c r="A364" s="1">
        <v>43964</v>
      </c>
      <c r="B364" t="s">
        <v>59</v>
      </c>
      <c r="C364" t="s">
        <v>4</v>
      </c>
      <c r="D364" s="2">
        <v>200000</v>
      </c>
      <c r="E364" s="3">
        <v>2047000000</v>
      </c>
    </row>
    <row r="365" spans="1:5" x14ac:dyDescent="0.3">
      <c r="A365" s="1">
        <v>43964</v>
      </c>
      <c r="B365" t="s">
        <v>95</v>
      </c>
      <c r="C365" t="s">
        <v>6</v>
      </c>
      <c r="D365" s="2">
        <v>240</v>
      </c>
      <c r="E365" s="3">
        <v>2964000</v>
      </c>
    </row>
    <row r="366" spans="1:5" x14ac:dyDescent="0.3">
      <c r="A366" s="1">
        <v>43964</v>
      </c>
      <c r="B366" t="s">
        <v>95</v>
      </c>
      <c r="C366" t="s">
        <v>7</v>
      </c>
      <c r="D366" s="2">
        <v>80</v>
      </c>
      <c r="E366" s="3">
        <v>640000</v>
      </c>
    </row>
    <row r="367" spans="1:5" x14ac:dyDescent="0.3">
      <c r="A367" s="1">
        <v>43964</v>
      </c>
      <c r="B367" t="s">
        <v>143</v>
      </c>
      <c r="C367" t="s">
        <v>6</v>
      </c>
      <c r="D367" s="2">
        <v>192</v>
      </c>
      <c r="E367" s="3">
        <v>2371200</v>
      </c>
    </row>
    <row r="368" spans="1:5" x14ac:dyDescent="0.3">
      <c r="A368" s="1">
        <v>43964</v>
      </c>
      <c r="B368" t="s">
        <v>143</v>
      </c>
      <c r="C368" t="s">
        <v>7</v>
      </c>
      <c r="D368" s="2">
        <v>60</v>
      </c>
      <c r="E368" s="3">
        <v>480000</v>
      </c>
    </row>
    <row r="369" spans="1:5" x14ac:dyDescent="0.3">
      <c r="A369" s="1">
        <v>43964</v>
      </c>
      <c r="B369" t="s">
        <v>144</v>
      </c>
      <c r="C369" t="s">
        <v>6</v>
      </c>
      <c r="D369" s="2">
        <v>180</v>
      </c>
      <c r="E369" s="3">
        <v>2223000</v>
      </c>
    </row>
    <row r="370" spans="1:5" x14ac:dyDescent="0.3">
      <c r="A370" s="1">
        <v>43964</v>
      </c>
      <c r="B370" t="s">
        <v>144</v>
      </c>
      <c r="C370" t="s">
        <v>7</v>
      </c>
      <c r="D370" s="2">
        <v>60</v>
      </c>
      <c r="E370" s="3">
        <v>480000</v>
      </c>
    </row>
    <row r="371" spans="1:5" x14ac:dyDescent="0.3">
      <c r="A371" s="1">
        <v>43965</v>
      </c>
      <c r="B371" t="s">
        <v>124</v>
      </c>
      <c r="C371" t="s">
        <v>6</v>
      </c>
      <c r="D371" s="2">
        <v>300</v>
      </c>
      <c r="E371" s="3">
        <v>3705000</v>
      </c>
    </row>
    <row r="372" spans="1:5" x14ac:dyDescent="0.3">
      <c r="A372" s="1">
        <v>43965</v>
      </c>
      <c r="B372" t="s">
        <v>124</v>
      </c>
      <c r="C372" t="s">
        <v>7</v>
      </c>
      <c r="D372" s="2">
        <v>100</v>
      </c>
      <c r="E372" s="3">
        <v>800000</v>
      </c>
    </row>
    <row r="373" spans="1:5" x14ac:dyDescent="0.3">
      <c r="A373" s="1">
        <v>43965</v>
      </c>
      <c r="B373" t="s">
        <v>145</v>
      </c>
      <c r="C373" t="s">
        <v>6</v>
      </c>
      <c r="D373" s="2">
        <v>480</v>
      </c>
      <c r="E373" s="3">
        <v>5928000</v>
      </c>
    </row>
    <row r="374" spans="1:5" x14ac:dyDescent="0.3">
      <c r="A374" s="1">
        <v>43965</v>
      </c>
      <c r="B374" t="s">
        <v>145</v>
      </c>
      <c r="C374" t="s">
        <v>7</v>
      </c>
      <c r="D374" s="2">
        <v>100</v>
      </c>
      <c r="E374" s="3">
        <v>800000</v>
      </c>
    </row>
    <row r="375" spans="1:5" x14ac:dyDescent="0.3">
      <c r="A375" s="1">
        <v>43965</v>
      </c>
      <c r="B375" t="s">
        <v>146</v>
      </c>
      <c r="C375" t="s">
        <v>6</v>
      </c>
      <c r="D375" s="2">
        <v>412</v>
      </c>
      <c r="E375" s="3">
        <v>5088200</v>
      </c>
    </row>
    <row r="376" spans="1:5" x14ac:dyDescent="0.3">
      <c r="A376" s="1">
        <v>43965</v>
      </c>
      <c r="B376" t="s">
        <v>146</v>
      </c>
      <c r="C376" t="s">
        <v>7</v>
      </c>
      <c r="D376" s="2">
        <v>100</v>
      </c>
      <c r="E376" s="3">
        <v>800000</v>
      </c>
    </row>
    <row r="377" spans="1:5" x14ac:dyDescent="0.3">
      <c r="A377" s="1">
        <v>43971</v>
      </c>
      <c r="B377" t="s">
        <v>105</v>
      </c>
      <c r="C377" t="s">
        <v>4</v>
      </c>
      <c r="D377" s="2">
        <v>950</v>
      </c>
      <c r="E377" s="3">
        <v>9785000</v>
      </c>
    </row>
    <row r="378" spans="1:5" x14ac:dyDescent="0.3">
      <c r="A378" s="1">
        <v>43971</v>
      </c>
      <c r="B378" t="s">
        <v>105</v>
      </c>
      <c r="C378" t="s">
        <v>4</v>
      </c>
      <c r="D378" s="2">
        <v>2300</v>
      </c>
      <c r="E378" s="3">
        <v>23460000</v>
      </c>
    </row>
    <row r="379" spans="1:5" x14ac:dyDescent="0.3">
      <c r="A379" s="1">
        <v>43971</v>
      </c>
      <c r="B379" t="s">
        <v>33</v>
      </c>
      <c r="C379" t="s">
        <v>4</v>
      </c>
      <c r="D379" s="2">
        <v>850</v>
      </c>
      <c r="E379" s="3">
        <v>8755000</v>
      </c>
    </row>
    <row r="380" spans="1:5" x14ac:dyDescent="0.3">
      <c r="A380" s="1">
        <v>43971</v>
      </c>
      <c r="B380" t="s">
        <v>33</v>
      </c>
      <c r="C380" t="s">
        <v>4</v>
      </c>
      <c r="D380" s="2">
        <v>2500</v>
      </c>
      <c r="E380" s="3">
        <v>25500000</v>
      </c>
    </row>
    <row r="381" spans="1:5" x14ac:dyDescent="0.3">
      <c r="A381" s="1">
        <v>43971</v>
      </c>
      <c r="B381" t="s">
        <v>45</v>
      </c>
      <c r="C381" t="s">
        <v>4</v>
      </c>
      <c r="D381" s="2">
        <v>825</v>
      </c>
      <c r="E381" s="3">
        <v>8497500</v>
      </c>
    </row>
    <row r="382" spans="1:5" x14ac:dyDescent="0.3">
      <c r="A382" s="1">
        <v>43971</v>
      </c>
      <c r="B382" t="s">
        <v>45</v>
      </c>
      <c r="C382" t="s">
        <v>4</v>
      </c>
      <c r="D382" s="2">
        <v>3000</v>
      </c>
      <c r="E382" s="3">
        <v>30600000</v>
      </c>
    </row>
    <row r="383" spans="1:5" x14ac:dyDescent="0.3">
      <c r="A383" s="1">
        <v>43971</v>
      </c>
      <c r="B383" t="s">
        <v>50</v>
      </c>
      <c r="C383" t="s">
        <v>4</v>
      </c>
      <c r="D383" s="2">
        <v>925</v>
      </c>
      <c r="E383" s="3">
        <v>9527500</v>
      </c>
    </row>
    <row r="384" spans="1:5" x14ac:dyDescent="0.3">
      <c r="A384" s="1">
        <v>43971</v>
      </c>
      <c r="B384" t="s">
        <v>50</v>
      </c>
      <c r="C384" t="s">
        <v>4</v>
      </c>
      <c r="D384" s="2">
        <v>2250</v>
      </c>
      <c r="E384" s="3">
        <v>22950000</v>
      </c>
    </row>
    <row r="385" spans="1:5" x14ac:dyDescent="0.3">
      <c r="A385" s="1">
        <v>43971</v>
      </c>
      <c r="B385" t="s">
        <v>51</v>
      </c>
      <c r="C385" t="s">
        <v>4</v>
      </c>
      <c r="D385" s="2">
        <v>750</v>
      </c>
      <c r="E385" s="3">
        <v>7725000</v>
      </c>
    </row>
    <row r="386" spans="1:5" x14ac:dyDescent="0.3">
      <c r="A386" s="1">
        <v>43971</v>
      </c>
      <c r="B386" t="s">
        <v>51</v>
      </c>
      <c r="C386" t="s">
        <v>4</v>
      </c>
      <c r="D386" s="2">
        <v>2400</v>
      </c>
      <c r="E386" s="3">
        <v>24480000</v>
      </c>
    </row>
    <row r="387" spans="1:5" x14ac:dyDescent="0.3">
      <c r="A387" s="1">
        <v>43971</v>
      </c>
      <c r="B387" t="s">
        <v>52</v>
      </c>
      <c r="C387" t="s">
        <v>4</v>
      </c>
      <c r="D387" s="2">
        <v>700</v>
      </c>
      <c r="E387" s="3">
        <v>7210000</v>
      </c>
    </row>
    <row r="388" spans="1:5" x14ac:dyDescent="0.3">
      <c r="A388" s="1">
        <v>43971</v>
      </c>
      <c r="B388" t="s">
        <v>52</v>
      </c>
      <c r="C388" t="s">
        <v>4</v>
      </c>
      <c r="D388" s="2">
        <v>2550</v>
      </c>
      <c r="E388" s="3">
        <v>26010000</v>
      </c>
    </row>
    <row r="389" spans="1:5" x14ac:dyDescent="0.3">
      <c r="A389" s="1">
        <v>43971</v>
      </c>
      <c r="B389" t="s">
        <v>147</v>
      </c>
      <c r="C389" t="s">
        <v>4</v>
      </c>
      <c r="D389" s="2">
        <v>7000</v>
      </c>
      <c r="E389" s="3">
        <v>73500000</v>
      </c>
    </row>
    <row r="390" spans="1:5" x14ac:dyDescent="0.3">
      <c r="A390" s="1">
        <v>43971</v>
      </c>
      <c r="B390" t="s">
        <v>148</v>
      </c>
      <c r="C390" t="s">
        <v>4</v>
      </c>
      <c r="D390" s="2">
        <v>7000</v>
      </c>
      <c r="E390" s="3">
        <v>73500000</v>
      </c>
    </row>
    <row r="391" spans="1:5" x14ac:dyDescent="0.3">
      <c r="A391" s="1">
        <v>43971</v>
      </c>
      <c r="B391" t="s">
        <v>117</v>
      </c>
      <c r="C391" t="s">
        <v>4</v>
      </c>
      <c r="D391" s="2">
        <v>6000</v>
      </c>
      <c r="E391" s="3">
        <v>63000000</v>
      </c>
    </row>
    <row r="392" spans="1:5" x14ac:dyDescent="0.3">
      <c r="A392" s="1">
        <v>43971</v>
      </c>
      <c r="B392" t="s">
        <v>121</v>
      </c>
      <c r="C392" t="s">
        <v>4</v>
      </c>
      <c r="D392" s="2">
        <v>4500</v>
      </c>
      <c r="E392" s="3">
        <v>47250000</v>
      </c>
    </row>
    <row r="393" spans="1:5" x14ac:dyDescent="0.3">
      <c r="A393" s="1">
        <v>43971</v>
      </c>
      <c r="B393" t="s">
        <v>127</v>
      </c>
      <c r="C393" t="s">
        <v>4</v>
      </c>
      <c r="D393" s="2">
        <v>5500</v>
      </c>
      <c r="E393" s="3">
        <v>57750000</v>
      </c>
    </row>
    <row r="394" spans="1:5" x14ac:dyDescent="0.3">
      <c r="A394" s="1">
        <v>43986</v>
      </c>
      <c r="B394" t="s">
        <v>60</v>
      </c>
      <c r="C394" t="s">
        <v>3</v>
      </c>
      <c r="D394" s="2">
        <v>2500</v>
      </c>
      <c r="E394" s="3">
        <v>30000000</v>
      </c>
    </row>
    <row r="395" spans="1:5" x14ac:dyDescent="0.3">
      <c r="A395" s="1">
        <v>43986</v>
      </c>
      <c r="B395" t="s">
        <v>52</v>
      </c>
      <c r="C395" t="s">
        <v>4</v>
      </c>
      <c r="D395" s="2">
        <v>900</v>
      </c>
      <c r="E395" s="3">
        <v>8840700</v>
      </c>
    </row>
    <row r="396" spans="1:5" x14ac:dyDescent="0.3">
      <c r="A396" s="1">
        <v>43986</v>
      </c>
      <c r="B396" t="s">
        <v>52</v>
      </c>
      <c r="C396" t="s">
        <v>3</v>
      </c>
      <c r="D396" s="2">
        <v>2500</v>
      </c>
      <c r="E396" s="3">
        <v>30000000</v>
      </c>
    </row>
    <row r="397" spans="1:5" x14ac:dyDescent="0.3">
      <c r="A397" s="1">
        <v>43986</v>
      </c>
      <c r="B397" t="s">
        <v>45</v>
      </c>
      <c r="C397" t="s">
        <v>4</v>
      </c>
      <c r="D397" s="2">
        <v>1500</v>
      </c>
      <c r="E397" s="3">
        <v>14734500</v>
      </c>
    </row>
    <row r="398" spans="1:5" x14ac:dyDescent="0.3">
      <c r="A398" s="1">
        <v>43986</v>
      </c>
      <c r="B398" t="s">
        <v>45</v>
      </c>
      <c r="C398" t="s">
        <v>3</v>
      </c>
      <c r="D398" s="2">
        <v>8500</v>
      </c>
      <c r="E398" s="3">
        <v>102000000</v>
      </c>
    </row>
    <row r="399" spans="1:5" x14ac:dyDescent="0.3">
      <c r="A399" s="1">
        <v>43986</v>
      </c>
      <c r="B399" t="s">
        <v>61</v>
      </c>
      <c r="C399" t="s">
        <v>3</v>
      </c>
      <c r="D399" s="2">
        <v>10000</v>
      </c>
      <c r="E399" s="3">
        <v>120000000</v>
      </c>
    </row>
    <row r="400" spans="1:5" x14ac:dyDescent="0.3">
      <c r="A400" s="1">
        <v>43986</v>
      </c>
      <c r="B400" t="s">
        <v>62</v>
      </c>
      <c r="C400" t="s">
        <v>3</v>
      </c>
      <c r="D400" s="2">
        <v>10000</v>
      </c>
      <c r="E400" s="3">
        <v>120000000</v>
      </c>
    </row>
    <row r="401" spans="1:5" x14ac:dyDescent="0.3">
      <c r="A401" s="1">
        <v>43986</v>
      </c>
      <c r="B401" t="s">
        <v>63</v>
      </c>
      <c r="C401" t="s">
        <v>3</v>
      </c>
      <c r="D401" s="2">
        <v>8000</v>
      </c>
      <c r="E401" s="3">
        <v>96000000</v>
      </c>
    </row>
    <row r="402" spans="1:5" x14ac:dyDescent="0.3">
      <c r="A402" s="1">
        <v>43986</v>
      </c>
      <c r="B402" t="s">
        <v>95</v>
      </c>
      <c r="C402" t="s">
        <v>4</v>
      </c>
      <c r="D402" s="2">
        <v>950</v>
      </c>
      <c r="E402" s="3">
        <v>9331850</v>
      </c>
    </row>
    <row r="403" spans="1:5" x14ac:dyDescent="0.3">
      <c r="A403" s="1">
        <v>43986</v>
      </c>
      <c r="B403" t="s">
        <v>95</v>
      </c>
      <c r="C403" t="s">
        <v>3</v>
      </c>
      <c r="D403" s="2">
        <v>5000</v>
      </c>
      <c r="E403" s="3">
        <v>60000000</v>
      </c>
    </row>
    <row r="404" spans="1:5" x14ac:dyDescent="0.3">
      <c r="A404" s="1">
        <v>43986</v>
      </c>
      <c r="B404" t="s">
        <v>95</v>
      </c>
      <c r="C404" t="s">
        <v>6</v>
      </c>
      <c r="D404" s="2">
        <v>240</v>
      </c>
      <c r="E404" s="3">
        <v>2964000</v>
      </c>
    </row>
    <row r="405" spans="1:5" x14ac:dyDescent="0.3">
      <c r="A405" s="1">
        <v>43986</v>
      </c>
      <c r="B405" t="s">
        <v>95</v>
      </c>
      <c r="C405" t="s">
        <v>7</v>
      </c>
      <c r="D405" s="2">
        <v>60</v>
      </c>
      <c r="E405" s="3">
        <v>480000</v>
      </c>
    </row>
    <row r="406" spans="1:5" x14ac:dyDescent="0.3">
      <c r="A406" s="1">
        <v>43986</v>
      </c>
      <c r="B406" t="s">
        <v>20</v>
      </c>
      <c r="C406" t="s">
        <v>4</v>
      </c>
      <c r="D406" s="2">
        <v>1250</v>
      </c>
      <c r="E406" s="3">
        <v>12278750</v>
      </c>
    </row>
    <row r="407" spans="1:5" x14ac:dyDescent="0.3">
      <c r="A407" s="1">
        <v>43986</v>
      </c>
      <c r="B407" t="s">
        <v>20</v>
      </c>
      <c r="C407" t="s">
        <v>3</v>
      </c>
      <c r="D407" s="2">
        <v>500</v>
      </c>
      <c r="E407" s="3">
        <v>6000000</v>
      </c>
    </row>
    <row r="408" spans="1:5" x14ac:dyDescent="0.3">
      <c r="A408" s="1">
        <v>43986</v>
      </c>
      <c r="B408" t="s">
        <v>138</v>
      </c>
      <c r="C408" t="s">
        <v>4</v>
      </c>
      <c r="D408" s="2">
        <v>1500</v>
      </c>
      <c r="E408" s="3">
        <v>14734500</v>
      </c>
    </row>
    <row r="409" spans="1:5" x14ac:dyDescent="0.3">
      <c r="A409" s="1">
        <v>43986</v>
      </c>
      <c r="B409" t="s">
        <v>138</v>
      </c>
      <c r="C409" t="s">
        <v>3</v>
      </c>
      <c r="D409" s="2">
        <v>900</v>
      </c>
      <c r="E409" s="3">
        <v>10800000</v>
      </c>
    </row>
    <row r="410" spans="1:5" x14ac:dyDescent="0.3">
      <c r="A410" s="1">
        <v>43986</v>
      </c>
      <c r="B410" t="s">
        <v>138</v>
      </c>
      <c r="C410" t="s">
        <v>6</v>
      </c>
      <c r="D410" s="2">
        <v>600</v>
      </c>
      <c r="E410" s="3">
        <v>7410000</v>
      </c>
    </row>
    <row r="411" spans="1:5" x14ac:dyDescent="0.3">
      <c r="A411" s="1">
        <v>43986</v>
      </c>
      <c r="B411" t="s">
        <v>138</v>
      </c>
      <c r="C411" t="s">
        <v>7</v>
      </c>
      <c r="D411" s="2">
        <v>300</v>
      </c>
      <c r="E411" s="3">
        <v>2400000</v>
      </c>
    </row>
    <row r="412" spans="1:5" x14ac:dyDescent="0.3">
      <c r="A412" s="1">
        <v>43986</v>
      </c>
      <c r="B412" t="s">
        <v>56</v>
      </c>
      <c r="C412" t="s">
        <v>4</v>
      </c>
      <c r="D412" s="2">
        <v>2500</v>
      </c>
      <c r="E412" s="3">
        <v>24557500</v>
      </c>
    </row>
    <row r="413" spans="1:5" x14ac:dyDescent="0.3">
      <c r="A413" s="1">
        <v>43986</v>
      </c>
      <c r="B413" t="s">
        <v>56</v>
      </c>
      <c r="C413" t="s">
        <v>3</v>
      </c>
      <c r="D413" s="2">
        <v>8500</v>
      </c>
      <c r="E413" s="3">
        <v>102000000</v>
      </c>
    </row>
    <row r="414" spans="1:5" x14ac:dyDescent="0.3">
      <c r="A414" s="1">
        <v>43986</v>
      </c>
      <c r="B414" t="s">
        <v>25</v>
      </c>
      <c r="C414" t="s">
        <v>4</v>
      </c>
      <c r="D414" s="2">
        <v>800</v>
      </c>
      <c r="E414" s="3">
        <v>7858400</v>
      </c>
    </row>
    <row r="415" spans="1:5" x14ac:dyDescent="0.3">
      <c r="A415" s="1">
        <v>43986</v>
      </c>
      <c r="B415" t="s">
        <v>25</v>
      </c>
      <c r="C415" t="s">
        <v>3</v>
      </c>
      <c r="D415" s="2">
        <v>2550</v>
      </c>
      <c r="E415" s="3">
        <v>30600000</v>
      </c>
    </row>
    <row r="416" spans="1:5" x14ac:dyDescent="0.3">
      <c r="A416" s="1">
        <v>43986</v>
      </c>
      <c r="B416" t="s">
        <v>25</v>
      </c>
      <c r="C416" t="s">
        <v>6</v>
      </c>
      <c r="D416" s="2">
        <v>180</v>
      </c>
      <c r="E416" s="3">
        <v>2223000</v>
      </c>
    </row>
    <row r="417" spans="1:5" x14ac:dyDescent="0.3">
      <c r="A417" s="1">
        <v>43986</v>
      </c>
      <c r="B417" t="s">
        <v>25</v>
      </c>
      <c r="C417" t="s">
        <v>7</v>
      </c>
      <c r="D417" s="2">
        <v>160</v>
      </c>
      <c r="E417" s="3">
        <v>1280000</v>
      </c>
    </row>
    <row r="418" spans="1:5" x14ac:dyDescent="0.3">
      <c r="A418" s="1">
        <v>43987</v>
      </c>
      <c r="B418" t="s">
        <v>92</v>
      </c>
      <c r="C418" t="s">
        <v>4</v>
      </c>
      <c r="D418" s="2">
        <v>1250</v>
      </c>
      <c r="E418" s="3">
        <v>12278750</v>
      </c>
    </row>
    <row r="419" spans="1:5" x14ac:dyDescent="0.3">
      <c r="A419" s="1">
        <v>43987</v>
      </c>
      <c r="B419" t="s">
        <v>92</v>
      </c>
      <c r="C419" t="s">
        <v>3</v>
      </c>
      <c r="D419" s="2">
        <v>5050</v>
      </c>
      <c r="E419" s="3">
        <v>60600000</v>
      </c>
    </row>
    <row r="420" spans="1:5" x14ac:dyDescent="0.3">
      <c r="A420" s="1">
        <v>43987</v>
      </c>
      <c r="B420" t="s">
        <v>16</v>
      </c>
      <c r="C420" t="s">
        <v>4</v>
      </c>
      <c r="D420" s="2">
        <v>1000</v>
      </c>
      <c r="E420" s="3">
        <v>9823000</v>
      </c>
    </row>
    <row r="421" spans="1:5" x14ac:dyDescent="0.3">
      <c r="A421" s="1">
        <v>43987</v>
      </c>
      <c r="B421" t="s">
        <v>16</v>
      </c>
      <c r="C421" t="s">
        <v>3</v>
      </c>
      <c r="D421" s="2">
        <v>2000</v>
      </c>
      <c r="E421" s="3">
        <v>24000000</v>
      </c>
    </row>
    <row r="422" spans="1:5" x14ac:dyDescent="0.3">
      <c r="A422" s="1">
        <v>43987</v>
      </c>
      <c r="B422" t="s">
        <v>27</v>
      </c>
      <c r="C422" t="s">
        <v>4</v>
      </c>
      <c r="D422" s="2">
        <v>1500</v>
      </c>
      <c r="E422" s="3">
        <v>14734500</v>
      </c>
    </row>
    <row r="423" spans="1:5" x14ac:dyDescent="0.3">
      <c r="A423" s="1">
        <v>43987</v>
      </c>
      <c r="B423" t="s">
        <v>27</v>
      </c>
      <c r="C423" t="s">
        <v>3</v>
      </c>
      <c r="D423" s="2">
        <v>4750</v>
      </c>
      <c r="E423" s="3">
        <v>57000000</v>
      </c>
    </row>
    <row r="424" spans="1:5" x14ac:dyDescent="0.3">
      <c r="A424" s="1">
        <v>43987</v>
      </c>
      <c r="B424" t="s">
        <v>43</v>
      </c>
      <c r="C424" t="s">
        <v>4</v>
      </c>
      <c r="D424" s="2">
        <v>850</v>
      </c>
      <c r="E424" s="3">
        <v>8349550</v>
      </c>
    </row>
    <row r="425" spans="1:5" x14ac:dyDescent="0.3">
      <c r="A425" s="1">
        <v>43987</v>
      </c>
      <c r="B425" t="s">
        <v>43</v>
      </c>
      <c r="C425" t="s">
        <v>3</v>
      </c>
      <c r="D425" s="2">
        <v>1250</v>
      </c>
      <c r="E425" s="3">
        <v>15000000</v>
      </c>
    </row>
    <row r="426" spans="1:5" x14ac:dyDescent="0.3">
      <c r="A426" s="1">
        <v>43987</v>
      </c>
      <c r="B426" t="s">
        <v>51</v>
      </c>
      <c r="C426" t="s">
        <v>4</v>
      </c>
      <c r="D426" s="2">
        <v>500</v>
      </c>
      <c r="E426" s="3">
        <v>4911500</v>
      </c>
    </row>
    <row r="427" spans="1:5" x14ac:dyDescent="0.3">
      <c r="A427" s="1">
        <v>43987</v>
      </c>
      <c r="B427" t="s">
        <v>51</v>
      </c>
      <c r="C427" t="s">
        <v>3</v>
      </c>
      <c r="D427" s="2">
        <v>950</v>
      </c>
      <c r="E427" s="3">
        <v>11400000</v>
      </c>
    </row>
    <row r="428" spans="1:5" x14ac:dyDescent="0.3">
      <c r="A428" s="1">
        <v>43987</v>
      </c>
      <c r="B428" t="s">
        <v>105</v>
      </c>
      <c r="C428" t="s">
        <v>4</v>
      </c>
      <c r="D428" s="2">
        <v>500</v>
      </c>
      <c r="E428" s="3">
        <v>4911500</v>
      </c>
    </row>
    <row r="429" spans="1:5" x14ac:dyDescent="0.3">
      <c r="A429" s="1">
        <v>43987</v>
      </c>
      <c r="B429" t="s">
        <v>105</v>
      </c>
      <c r="C429" t="s">
        <v>3</v>
      </c>
      <c r="D429" s="2">
        <v>3500</v>
      </c>
      <c r="E429" s="3">
        <v>42000000</v>
      </c>
    </row>
    <row r="430" spans="1:5" x14ac:dyDescent="0.3">
      <c r="A430" s="1">
        <v>43987</v>
      </c>
      <c r="B430" t="s">
        <v>122</v>
      </c>
      <c r="C430" t="s">
        <v>3</v>
      </c>
      <c r="D430" s="2">
        <v>1000</v>
      </c>
      <c r="E430" s="3">
        <v>12000000</v>
      </c>
    </row>
    <row r="431" spans="1:5" x14ac:dyDescent="0.3">
      <c r="A431" s="1">
        <v>43987</v>
      </c>
      <c r="B431" t="s">
        <v>45</v>
      </c>
      <c r="C431" t="s">
        <v>3</v>
      </c>
      <c r="D431" s="2">
        <v>9550</v>
      </c>
      <c r="E431" s="3">
        <v>114600000</v>
      </c>
    </row>
    <row r="432" spans="1:5" x14ac:dyDescent="0.3">
      <c r="A432" s="1">
        <v>43987</v>
      </c>
      <c r="B432" t="s">
        <v>63</v>
      </c>
      <c r="C432" t="s">
        <v>3</v>
      </c>
      <c r="D432" s="2">
        <v>13000</v>
      </c>
      <c r="E432" s="3">
        <v>156000000</v>
      </c>
    </row>
    <row r="433" spans="1:5" x14ac:dyDescent="0.3">
      <c r="A433" s="1">
        <v>43990</v>
      </c>
      <c r="B433" t="s">
        <v>34</v>
      </c>
      <c r="C433" t="s">
        <v>3</v>
      </c>
      <c r="D433" s="2">
        <v>1850</v>
      </c>
      <c r="E433" s="3">
        <v>22200000</v>
      </c>
    </row>
    <row r="434" spans="1:5" x14ac:dyDescent="0.3">
      <c r="A434" s="1">
        <v>43990</v>
      </c>
      <c r="B434" t="s">
        <v>61</v>
      </c>
      <c r="C434" t="s">
        <v>3</v>
      </c>
      <c r="D434" s="2">
        <v>13000</v>
      </c>
      <c r="E434" s="3">
        <v>156000000</v>
      </c>
    </row>
    <row r="435" spans="1:5" x14ac:dyDescent="0.3">
      <c r="A435" s="1">
        <v>43990</v>
      </c>
      <c r="B435" t="s">
        <v>62</v>
      </c>
      <c r="C435" t="s">
        <v>3</v>
      </c>
      <c r="D435" s="2">
        <v>6500</v>
      </c>
      <c r="E435" s="3">
        <v>78000000</v>
      </c>
    </row>
    <row r="436" spans="1:5" x14ac:dyDescent="0.3">
      <c r="A436" s="1">
        <v>43991</v>
      </c>
      <c r="B436" t="s">
        <v>64</v>
      </c>
      <c r="C436" t="s">
        <v>3</v>
      </c>
      <c r="D436" s="2">
        <v>3500</v>
      </c>
      <c r="E436" s="3">
        <v>42000000</v>
      </c>
    </row>
    <row r="437" spans="1:5" x14ac:dyDescent="0.3">
      <c r="A437" s="1">
        <v>43991</v>
      </c>
      <c r="B437" t="s">
        <v>65</v>
      </c>
      <c r="C437" t="s">
        <v>3</v>
      </c>
      <c r="D437" s="2">
        <v>1300</v>
      </c>
      <c r="E437" s="3">
        <v>15600000</v>
      </c>
    </row>
    <row r="438" spans="1:5" x14ac:dyDescent="0.3">
      <c r="A438" s="1">
        <v>43991</v>
      </c>
      <c r="B438" t="s">
        <v>66</v>
      </c>
      <c r="C438" t="s">
        <v>3</v>
      </c>
      <c r="D438" s="2">
        <v>2000</v>
      </c>
      <c r="E438" s="3">
        <v>24000000</v>
      </c>
    </row>
    <row r="439" spans="1:5" x14ac:dyDescent="0.3">
      <c r="A439" s="1">
        <v>43991</v>
      </c>
      <c r="B439" t="s">
        <v>67</v>
      </c>
      <c r="C439" t="s">
        <v>3</v>
      </c>
      <c r="D439" s="2">
        <v>1400</v>
      </c>
      <c r="E439" s="3">
        <v>16800000</v>
      </c>
    </row>
    <row r="440" spans="1:5" x14ac:dyDescent="0.3">
      <c r="A440" s="1">
        <v>43991</v>
      </c>
      <c r="B440" t="s">
        <v>68</v>
      </c>
      <c r="C440" t="s">
        <v>3</v>
      </c>
      <c r="D440" s="2">
        <v>2550</v>
      </c>
      <c r="E440" s="3">
        <v>30600000</v>
      </c>
    </row>
    <row r="441" spans="1:5" x14ac:dyDescent="0.3">
      <c r="A441" s="1">
        <v>43991</v>
      </c>
      <c r="B441" t="s">
        <v>69</v>
      </c>
      <c r="C441" t="s">
        <v>3</v>
      </c>
      <c r="D441" s="2">
        <v>1450</v>
      </c>
      <c r="E441" s="3">
        <v>17400000</v>
      </c>
    </row>
    <row r="442" spans="1:5" x14ac:dyDescent="0.3">
      <c r="A442" s="1">
        <v>43991</v>
      </c>
      <c r="B442" t="s">
        <v>70</v>
      </c>
      <c r="C442" t="s">
        <v>3</v>
      </c>
      <c r="D442" s="2">
        <v>4300</v>
      </c>
      <c r="E442" s="3">
        <v>51600000</v>
      </c>
    </row>
    <row r="443" spans="1:5" x14ac:dyDescent="0.3">
      <c r="A443" s="1">
        <v>43991</v>
      </c>
      <c r="B443" t="s">
        <v>12</v>
      </c>
      <c r="C443" t="s">
        <v>3</v>
      </c>
      <c r="D443" s="2">
        <v>2150</v>
      </c>
      <c r="E443" s="3">
        <v>25800000</v>
      </c>
    </row>
    <row r="444" spans="1:5" x14ac:dyDescent="0.3">
      <c r="A444" s="1">
        <v>43991</v>
      </c>
      <c r="B444" t="s">
        <v>71</v>
      </c>
      <c r="C444" t="s">
        <v>3</v>
      </c>
      <c r="D444" s="2">
        <v>1150</v>
      </c>
      <c r="E444" s="3">
        <v>13800000</v>
      </c>
    </row>
    <row r="445" spans="1:5" x14ac:dyDescent="0.3">
      <c r="A445" s="1">
        <v>43992</v>
      </c>
      <c r="B445" t="s">
        <v>72</v>
      </c>
      <c r="C445" t="s">
        <v>3</v>
      </c>
      <c r="D445" s="2">
        <v>2950</v>
      </c>
      <c r="E445" s="3">
        <v>35400000</v>
      </c>
    </row>
    <row r="446" spans="1:5" x14ac:dyDescent="0.3">
      <c r="A446" s="1">
        <v>43992</v>
      </c>
      <c r="B446" t="s">
        <v>72</v>
      </c>
      <c r="C446" t="s">
        <v>6</v>
      </c>
      <c r="D446" s="2">
        <v>120</v>
      </c>
      <c r="E446" s="3">
        <v>1482000</v>
      </c>
    </row>
    <row r="447" spans="1:5" x14ac:dyDescent="0.3">
      <c r="A447" s="1">
        <v>43992</v>
      </c>
      <c r="B447" t="s">
        <v>72</v>
      </c>
      <c r="C447" t="s">
        <v>7</v>
      </c>
      <c r="D447" s="2">
        <v>100</v>
      </c>
      <c r="E447" s="3">
        <v>800000</v>
      </c>
    </row>
    <row r="448" spans="1:5" x14ac:dyDescent="0.3">
      <c r="A448" s="1">
        <v>43992</v>
      </c>
      <c r="B448" t="s">
        <v>45</v>
      </c>
      <c r="C448" t="s">
        <v>3</v>
      </c>
      <c r="D448" s="2">
        <v>7450</v>
      </c>
      <c r="E448" s="3">
        <v>89400000</v>
      </c>
    </row>
    <row r="449" spans="1:5" x14ac:dyDescent="0.3">
      <c r="A449" s="1">
        <v>43992</v>
      </c>
      <c r="B449" t="s">
        <v>62</v>
      </c>
      <c r="C449" t="s">
        <v>3</v>
      </c>
      <c r="D449" s="2">
        <v>10000</v>
      </c>
      <c r="E449" s="3">
        <v>120000000</v>
      </c>
    </row>
    <row r="450" spans="1:5" x14ac:dyDescent="0.3">
      <c r="A450" s="1">
        <v>43992</v>
      </c>
      <c r="B450" t="s">
        <v>41</v>
      </c>
      <c r="C450" t="s">
        <v>3</v>
      </c>
      <c r="D450" s="2">
        <v>1050</v>
      </c>
      <c r="E450" s="3">
        <v>12600000</v>
      </c>
    </row>
    <row r="451" spans="1:5" x14ac:dyDescent="0.3">
      <c r="A451" s="1">
        <v>43992</v>
      </c>
      <c r="B451" t="s">
        <v>41</v>
      </c>
      <c r="C451" t="s">
        <v>6</v>
      </c>
      <c r="D451" s="2">
        <v>132</v>
      </c>
      <c r="E451" s="3">
        <v>1630200</v>
      </c>
    </row>
    <row r="452" spans="1:5" x14ac:dyDescent="0.3">
      <c r="A452" s="1">
        <v>43992</v>
      </c>
      <c r="B452" t="s">
        <v>41</v>
      </c>
      <c r="C452" t="s">
        <v>7</v>
      </c>
      <c r="D452" s="2">
        <v>160</v>
      </c>
      <c r="E452" s="3">
        <v>1280000</v>
      </c>
    </row>
    <row r="453" spans="1:5" x14ac:dyDescent="0.3">
      <c r="A453" s="1">
        <v>43992</v>
      </c>
      <c r="B453" t="s">
        <v>26</v>
      </c>
      <c r="C453" t="s">
        <v>3</v>
      </c>
      <c r="D453" s="2">
        <v>6900</v>
      </c>
      <c r="E453" s="3">
        <v>82800000</v>
      </c>
    </row>
    <row r="454" spans="1:5" x14ac:dyDescent="0.3">
      <c r="A454" s="1">
        <v>43992</v>
      </c>
      <c r="B454" t="s">
        <v>14</v>
      </c>
      <c r="C454" t="s">
        <v>3</v>
      </c>
      <c r="D454" s="2">
        <v>6500</v>
      </c>
      <c r="E454" s="3">
        <v>78000000</v>
      </c>
    </row>
    <row r="455" spans="1:5" x14ac:dyDescent="0.3">
      <c r="A455" s="1">
        <v>43992</v>
      </c>
      <c r="B455" t="s">
        <v>89</v>
      </c>
      <c r="C455" t="s">
        <v>4</v>
      </c>
      <c r="D455" s="2">
        <v>4000</v>
      </c>
      <c r="E455" s="3">
        <v>42000000</v>
      </c>
    </row>
    <row r="456" spans="1:5" x14ac:dyDescent="0.3">
      <c r="A456" s="1">
        <v>43992</v>
      </c>
      <c r="B456" t="s">
        <v>107</v>
      </c>
      <c r="C456" t="s">
        <v>4</v>
      </c>
      <c r="D456" s="2">
        <v>5000</v>
      </c>
      <c r="E456" s="3">
        <v>52500000</v>
      </c>
    </row>
    <row r="457" spans="1:5" x14ac:dyDescent="0.3">
      <c r="A457" s="1">
        <v>43992</v>
      </c>
      <c r="B457" t="s">
        <v>112</v>
      </c>
      <c r="C457" t="s">
        <v>4</v>
      </c>
      <c r="D457" s="2">
        <v>5000</v>
      </c>
      <c r="E457" s="3">
        <v>52500000</v>
      </c>
    </row>
    <row r="458" spans="1:5" x14ac:dyDescent="0.3">
      <c r="A458" s="1">
        <v>43992</v>
      </c>
      <c r="B458" t="s">
        <v>138</v>
      </c>
      <c r="C458" t="s">
        <v>4</v>
      </c>
      <c r="D458" s="2">
        <v>3000</v>
      </c>
      <c r="E458" s="3">
        <v>31500000</v>
      </c>
    </row>
    <row r="459" spans="1:5" x14ac:dyDescent="0.3">
      <c r="A459" s="1">
        <v>43992</v>
      </c>
      <c r="B459" t="s">
        <v>91</v>
      </c>
      <c r="C459" t="s">
        <v>4</v>
      </c>
      <c r="D459" s="2">
        <v>3010</v>
      </c>
      <c r="E459" s="3">
        <v>31605000</v>
      </c>
    </row>
    <row r="460" spans="1:5" x14ac:dyDescent="0.3">
      <c r="A460" s="1">
        <v>43992</v>
      </c>
      <c r="B460" t="s">
        <v>149</v>
      </c>
      <c r="C460" t="s">
        <v>4</v>
      </c>
      <c r="D460" s="2">
        <v>2000</v>
      </c>
      <c r="E460" s="3">
        <v>21000000</v>
      </c>
    </row>
    <row r="461" spans="1:5" x14ac:dyDescent="0.3">
      <c r="A461" s="1">
        <v>44001</v>
      </c>
      <c r="B461" t="s">
        <v>38</v>
      </c>
      <c r="C461" t="s">
        <v>4</v>
      </c>
      <c r="D461" s="2">
        <v>1500</v>
      </c>
      <c r="E461" s="3">
        <v>15300000</v>
      </c>
    </row>
    <row r="462" spans="1:5" x14ac:dyDescent="0.3">
      <c r="A462" s="1">
        <v>44001</v>
      </c>
      <c r="B462" t="s">
        <v>38</v>
      </c>
      <c r="C462" t="s">
        <v>4</v>
      </c>
      <c r="D462" s="2">
        <v>1150</v>
      </c>
      <c r="E462" s="3">
        <v>11296450</v>
      </c>
    </row>
    <row r="463" spans="1:5" x14ac:dyDescent="0.3">
      <c r="A463" s="1">
        <v>44001</v>
      </c>
      <c r="B463" t="s">
        <v>38</v>
      </c>
      <c r="C463" t="s">
        <v>7</v>
      </c>
      <c r="D463" s="2">
        <v>40</v>
      </c>
      <c r="E463" s="3">
        <v>320000</v>
      </c>
    </row>
    <row r="464" spans="1:5" x14ac:dyDescent="0.3">
      <c r="A464" s="1">
        <v>44001</v>
      </c>
      <c r="B464" t="s">
        <v>25</v>
      </c>
      <c r="C464" t="s">
        <v>4</v>
      </c>
      <c r="D464" s="2">
        <v>1300</v>
      </c>
      <c r="E464" s="3">
        <v>13260000</v>
      </c>
    </row>
    <row r="465" spans="1:5" x14ac:dyDescent="0.3">
      <c r="A465" s="1">
        <v>44001</v>
      </c>
      <c r="B465" t="s">
        <v>25</v>
      </c>
      <c r="C465" t="s">
        <v>4</v>
      </c>
      <c r="D465" s="2">
        <v>1100</v>
      </c>
      <c r="E465" s="3">
        <v>10805300</v>
      </c>
    </row>
    <row r="466" spans="1:5" x14ac:dyDescent="0.3">
      <c r="A466" s="1">
        <v>44001</v>
      </c>
      <c r="B466" t="s">
        <v>25</v>
      </c>
      <c r="C466" t="s">
        <v>7</v>
      </c>
      <c r="D466" s="2">
        <v>80</v>
      </c>
      <c r="E466" s="3">
        <v>640000</v>
      </c>
    </row>
    <row r="467" spans="1:5" x14ac:dyDescent="0.3">
      <c r="A467" s="1">
        <v>44001</v>
      </c>
      <c r="B467" t="s">
        <v>106</v>
      </c>
      <c r="C467" t="s">
        <v>4</v>
      </c>
      <c r="D467" s="2">
        <v>1230</v>
      </c>
      <c r="E467" s="3">
        <v>12546000</v>
      </c>
    </row>
    <row r="468" spans="1:5" x14ac:dyDescent="0.3">
      <c r="A468" s="1">
        <v>44001</v>
      </c>
      <c r="B468" t="s">
        <v>106</v>
      </c>
      <c r="C468" t="s">
        <v>4</v>
      </c>
      <c r="D468" s="2">
        <v>1000</v>
      </c>
      <c r="E468" s="3">
        <v>9823000</v>
      </c>
    </row>
    <row r="469" spans="1:5" x14ac:dyDescent="0.3">
      <c r="A469" s="1">
        <v>44001</v>
      </c>
      <c r="B469" t="s">
        <v>106</v>
      </c>
      <c r="C469" t="s">
        <v>7</v>
      </c>
      <c r="D469" s="2">
        <v>100</v>
      </c>
      <c r="E469" s="3">
        <v>800000</v>
      </c>
    </row>
    <row r="470" spans="1:5" x14ac:dyDescent="0.3">
      <c r="A470" s="1">
        <v>44001</v>
      </c>
      <c r="B470" t="s">
        <v>43</v>
      </c>
      <c r="C470" t="s">
        <v>4</v>
      </c>
      <c r="D470" s="2">
        <v>1100</v>
      </c>
      <c r="E470" s="3">
        <v>11220000</v>
      </c>
    </row>
    <row r="471" spans="1:5" x14ac:dyDescent="0.3">
      <c r="A471" s="1">
        <v>44001</v>
      </c>
      <c r="B471" t="s">
        <v>43</v>
      </c>
      <c r="C471" t="s">
        <v>4</v>
      </c>
      <c r="D471" s="2">
        <v>950</v>
      </c>
      <c r="E471" s="3">
        <v>9331850</v>
      </c>
    </row>
    <row r="472" spans="1:5" x14ac:dyDescent="0.3">
      <c r="A472" s="1">
        <v>44001</v>
      </c>
      <c r="B472" t="s">
        <v>42</v>
      </c>
      <c r="C472" t="s">
        <v>4</v>
      </c>
      <c r="D472" s="2">
        <v>950</v>
      </c>
      <c r="E472" s="3">
        <v>9690000</v>
      </c>
    </row>
    <row r="473" spans="1:5" x14ac:dyDescent="0.3">
      <c r="A473" s="1">
        <v>44001</v>
      </c>
      <c r="B473" t="s">
        <v>42</v>
      </c>
      <c r="C473" t="s">
        <v>4</v>
      </c>
      <c r="D473" s="2">
        <v>800</v>
      </c>
      <c r="E473" s="3">
        <v>7858400</v>
      </c>
    </row>
    <row r="474" spans="1:5" x14ac:dyDescent="0.3">
      <c r="A474" s="1">
        <v>44001</v>
      </c>
      <c r="B474" t="s">
        <v>10</v>
      </c>
      <c r="C474" t="s">
        <v>4</v>
      </c>
      <c r="D474" s="2">
        <v>1300</v>
      </c>
      <c r="E474" s="3">
        <v>13260000</v>
      </c>
    </row>
    <row r="475" spans="1:5" x14ac:dyDescent="0.3">
      <c r="A475" s="1">
        <v>44001</v>
      </c>
      <c r="B475" t="s">
        <v>126</v>
      </c>
      <c r="C475" t="s">
        <v>4</v>
      </c>
      <c r="D475" s="2">
        <v>1000</v>
      </c>
      <c r="E475" s="3">
        <v>10500000</v>
      </c>
    </row>
    <row r="476" spans="1:5" x14ac:dyDescent="0.3">
      <c r="A476" s="1">
        <v>44001</v>
      </c>
      <c r="B476" t="s">
        <v>124</v>
      </c>
      <c r="C476" t="s">
        <v>4</v>
      </c>
      <c r="D476" s="2">
        <v>1000</v>
      </c>
      <c r="E476" s="3">
        <v>10500000</v>
      </c>
    </row>
    <row r="477" spans="1:5" x14ac:dyDescent="0.3">
      <c r="A477" s="1">
        <v>44001</v>
      </c>
      <c r="B477" t="s">
        <v>150</v>
      </c>
      <c r="C477" t="s">
        <v>4</v>
      </c>
      <c r="D477" s="2">
        <v>1500</v>
      </c>
      <c r="E477" s="3">
        <v>15750000</v>
      </c>
    </row>
    <row r="478" spans="1:5" x14ac:dyDescent="0.3">
      <c r="A478" s="1">
        <v>44001</v>
      </c>
      <c r="B478" t="s">
        <v>104</v>
      </c>
      <c r="C478" t="s">
        <v>4</v>
      </c>
      <c r="D478" s="2">
        <v>4000</v>
      </c>
      <c r="E478" s="3">
        <v>42000000</v>
      </c>
    </row>
    <row r="479" spans="1:5" x14ac:dyDescent="0.3">
      <c r="A479" s="1">
        <v>44001</v>
      </c>
      <c r="B479" t="s">
        <v>138</v>
      </c>
      <c r="C479" t="s">
        <v>4</v>
      </c>
      <c r="D479" s="2">
        <v>2000</v>
      </c>
      <c r="E479" s="3">
        <v>21000000</v>
      </c>
    </row>
    <row r="480" spans="1:5" x14ac:dyDescent="0.3">
      <c r="A480" s="1">
        <v>44001</v>
      </c>
      <c r="B480" t="s">
        <v>151</v>
      </c>
      <c r="C480" t="s">
        <v>4</v>
      </c>
      <c r="D480" s="2">
        <v>500</v>
      </c>
      <c r="E480" s="3">
        <v>5250000</v>
      </c>
    </row>
    <row r="481" spans="1:5" x14ac:dyDescent="0.3">
      <c r="A481" s="1">
        <v>44001</v>
      </c>
      <c r="B481" t="s">
        <v>141</v>
      </c>
      <c r="C481" t="s">
        <v>4</v>
      </c>
      <c r="D481" s="2">
        <v>500</v>
      </c>
      <c r="E481" s="3">
        <v>5250000</v>
      </c>
    </row>
    <row r="482" spans="1:5" x14ac:dyDescent="0.3">
      <c r="A482" s="1">
        <v>44001</v>
      </c>
      <c r="B482" t="s">
        <v>144</v>
      </c>
      <c r="C482" t="s">
        <v>4</v>
      </c>
      <c r="D482" s="2">
        <v>1100</v>
      </c>
      <c r="E482" s="3">
        <v>11550000</v>
      </c>
    </row>
    <row r="483" spans="1:5" x14ac:dyDescent="0.3">
      <c r="A483" s="1">
        <v>44001</v>
      </c>
      <c r="B483" t="s">
        <v>133</v>
      </c>
      <c r="C483" t="s">
        <v>4</v>
      </c>
      <c r="D483" s="2">
        <v>3000</v>
      </c>
      <c r="E483" s="3">
        <v>31500000</v>
      </c>
    </row>
    <row r="484" spans="1:5" x14ac:dyDescent="0.3">
      <c r="A484" s="1">
        <v>44001</v>
      </c>
      <c r="B484" t="s">
        <v>152</v>
      </c>
      <c r="C484" t="s">
        <v>4</v>
      </c>
      <c r="D484" s="2">
        <v>4000</v>
      </c>
      <c r="E484" s="3">
        <v>42000000</v>
      </c>
    </row>
    <row r="485" spans="1:5" x14ac:dyDescent="0.3">
      <c r="A485" s="1">
        <v>44001</v>
      </c>
      <c r="B485" t="s">
        <v>153</v>
      </c>
      <c r="C485" t="s">
        <v>4</v>
      </c>
      <c r="D485" s="2">
        <v>5000</v>
      </c>
      <c r="E485" s="3">
        <v>52500000</v>
      </c>
    </row>
    <row r="486" spans="1:5" x14ac:dyDescent="0.3">
      <c r="A486" s="1">
        <v>44001</v>
      </c>
      <c r="B486" t="s">
        <v>108</v>
      </c>
      <c r="C486" t="s">
        <v>4</v>
      </c>
      <c r="D486" s="2">
        <v>1000</v>
      </c>
      <c r="E486" s="3">
        <v>10500000</v>
      </c>
    </row>
    <row r="487" spans="1:5" x14ac:dyDescent="0.3">
      <c r="A487" s="1">
        <v>44001</v>
      </c>
      <c r="B487" t="s">
        <v>94</v>
      </c>
      <c r="C487" t="s">
        <v>4</v>
      </c>
      <c r="D487" s="2">
        <v>5000</v>
      </c>
      <c r="E487" s="3">
        <v>52500000</v>
      </c>
    </row>
    <row r="488" spans="1:5" x14ac:dyDescent="0.3">
      <c r="A488" s="1">
        <v>44001</v>
      </c>
      <c r="B488" t="s">
        <v>117</v>
      </c>
      <c r="C488" t="s">
        <v>4</v>
      </c>
      <c r="D488" s="2">
        <v>5000</v>
      </c>
      <c r="E488" s="3">
        <v>52500000</v>
      </c>
    </row>
    <row r="489" spans="1:5" x14ac:dyDescent="0.3">
      <c r="A489" s="1">
        <v>44001</v>
      </c>
      <c r="B489" t="s">
        <v>113</v>
      </c>
      <c r="C489" t="s">
        <v>4</v>
      </c>
      <c r="D489" s="2">
        <v>2000</v>
      </c>
      <c r="E489" s="3">
        <v>21000000</v>
      </c>
    </row>
    <row r="490" spans="1:5" x14ac:dyDescent="0.3">
      <c r="A490" s="1">
        <v>44001</v>
      </c>
      <c r="B490" t="s">
        <v>84</v>
      </c>
      <c r="C490" t="s">
        <v>4</v>
      </c>
      <c r="D490" s="2">
        <v>2500</v>
      </c>
      <c r="E490" s="3">
        <v>26250000</v>
      </c>
    </row>
    <row r="491" spans="1:5" x14ac:dyDescent="0.3">
      <c r="A491" s="1">
        <v>44001</v>
      </c>
      <c r="B491" t="s">
        <v>102</v>
      </c>
      <c r="C491" t="s">
        <v>4</v>
      </c>
      <c r="D491" s="2">
        <v>1000</v>
      </c>
      <c r="E491" s="3">
        <v>10500000</v>
      </c>
    </row>
    <row r="492" spans="1:5" x14ac:dyDescent="0.3">
      <c r="A492" s="1">
        <v>44001</v>
      </c>
      <c r="B492" t="s">
        <v>96</v>
      </c>
      <c r="C492" t="s">
        <v>4</v>
      </c>
      <c r="D492" s="2">
        <v>1000</v>
      </c>
      <c r="E492" s="3">
        <v>10500000</v>
      </c>
    </row>
    <row r="493" spans="1:5" x14ac:dyDescent="0.3">
      <c r="A493" s="1">
        <v>44001</v>
      </c>
      <c r="B493" t="s">
        <v>154</v>
      </c>
      <c r="C493" t="s">
        <v>4</v>
      </c>
      <c r="D493" s="2">
        <v>500</v>
      </c>
      <c r="E493" s="3">
        <v>5250000</v>
      </c>
    </row>
    <row r="494" spans="1:5" x14ac:dyDescent="0.3">
      <c r="A494" s="1">
        <v>44001</v>
      </c>
      <c r="B494" t="s">
        <v>83</v>
      </c>
      <c r="C494" t="s">
        <v>4</v>
      </c>
      <c r="D494" s="2">
        <v>1500</v>
      </c>
      <c r="E494" s="3">
        <v>15750000</v>
      </c>
    </row>
    <row r="495" spans="1:5" x14ac:dyDescent="0.3">
      <c r="A495" s="1">
        <v>44004</v>
      </c>
      <c r="B495" t="s">
        <v>66</v>
      </c>
      <c r="C495" t="s">
        <v>3</v>
      </c>
      <c r="D495" s="2">
        <v>4000</v>
      </c>
      <c r="E495" s="3">
        <v>47200000</v>
      </c>
    </row>
    <row r="496" spans="1:5" x14ac:dyDescent="0.3">
      <c r="A496" s="1">
        <v>44004</v>
      </c>
      <c r="B496" t="s">
        <v>61</v>
      </c>
      <c r="C496" t="s">
        <v>3</v>
      </c>
      <c r="D496" s="2">
        <v>5000</v>
      </c>
      <c r="E496" s="3">
        <v>59000000</v>
      </c>
    </row>
    <row r="497" spans="1:5" x14ac:dyDescent="0.3">
      <c r="A497" s="1">
        <v>44004</v>
      </c>
      <c r="B497" t="s">
        <v>69</v>
      </c>
      <c r="C497" t="s">
        <v>3</v>
      </c>
      <c r="D497" s="2">
        <v>100</v>
      </c>
      <c r="E497" s="3">
        <v>1180000</v>
      </c>
    </row>
    <row r="498" spans="1:5" x14ac:dyDescent="0.3">
      <c r="A498" s="1">
        <v>44004</v>
      </c>
      <c r="B498" t="s">
        <v>67</v>
      </c>
      <c r="C498" t="s">
        <v>3</v>
      </c>
      <c r="D498" s="2">
        <v>3000</v>
      </c>
      <c r="E498" s="3">
        <v>35400000</v>
      </c>
    </row>
    <row r="499" spans="1:5" x14ac:dyDescent="0.3">
      <c r="A499" s="1">
        <v>44004</v>
      </c>
      <c r="B499" t="s">
        <v>119</v>
      </c>
      <c r="C499" t="s">
        <v>3</v>
      </c>
      <c r="D499" s="2">
        <v>600</v>
      </c>
      <c r="E499" s="3">
        <v>7080000</v>
      </c>
    </row>
    <row r="500" spans="1:5" x14ac:dyDescent="0.3">
      <c r="A500" s="1">
        <v>44004</v>
      </c>
      <c r="B500" t="s">
        <v>26</v>
      </c>
      <c r="C500" t="s">
        <v>3</v>
      </c>
      <c r="D500" s="2">
        <v>100</v>
      </c>
      <c r="E500" s="3">
        <v>1180000</v>
      </c>
    </row>
    <row r="501" spans="1:5" x14ac:dyDescent="0.3">
      <c r="A501" s="1">
        <v>44005</v>
      </c>
      <c r="B501" t="s">
        <v>60</v>
      </c>
      <c r="C501" t="s">
        <v>3</v>
      </c>
      <c r="D501" s="2">
        <v>2500</v>
      </c>
      <c r="E501" s="3">
        <v>29500000</v>
      </c>
    </row>
    <row r="502" spans="1:5" x14ac:dyDescent="0.3">
      <c r="A502" s="1">
        <v>44005</v>
      </c>
      <c r="B502" t="s">
        <v>27</v>
      </c>
      <c r="C502" t="s">
        <v>3</v>
      </c>
      <c r="D502" s="2">
        <v>500</v>
      </c>
      <c r="E502" s="3">
        <v>5900000</v>
      </c>
    </row>
    <row r="503" spans="1:5" x14ac:dyDescent="0.3">
      <c r="A503" s="1">
        <v>44005</v>
      </c>
      <c r="B503" t="s">
        <v>69</v>
      </c>
      <c r="C503" t="s">
        <v>4</v>
      </c>
      <c r="D503" s="2">
        <v>450</v>
      </c>
      <c r="E503" s="3">
        <v>4590000</v>
      </c>
    </row>
    <row r="504" spans="1:5" x14ac:dyDescent="0.3">
      <c r="A504" s="1">
        <v>44005</v>
      </c>
      <c r="B504" t="s">
        <v>69</v>
      </c>
      <c r="C504" t="s">
        <v>4</v>
      </c>
      <c r="D504" s="2">
        <v>50</v>
      </c>
      <c r="E504" s="3">
        <v>491150</v>
      </c>
    </row>
    <row r="505" spans="1:5" x14ac:dyDescent="0.3">
      <c r="A505" s="1">
        <v>44005</v>
      </c>
      <c r="B505" t="s">
        <v>48</v>
      </c>
      <c r="C505" t="s">
        <v>4</v>
      </c>
      <c r="D505" s="2">
        <v>190</v>
      </c>
      <c r="E505" s="3">
        <v>2280000</v>
      </c>
    </row>
    <row r="506" spans="1:5" x14ac:dyDescent="0.3">
      <c r="A506" s="1">
        <v>44005</v>
      </c>
      <c r="B506" t="s">
        <v>48</v>
      </c>
      <c r="C506" t="s">
        <v>4</v>
      </c>
      <c r="D506" s="2">
        <v>76</v>
      </c>
      <c r="E506" s="3">
        <v>1748000</v>
      </c>
    </row>
    <row r="507" spans="1:5" x14ac:dyDescent="0.3">
      <c r="A507" s="1">
        <v>44006</v>
      </c>
      <c r="B507" t="s">
        <v>155</v>
      </c>
      <c r="C507" t="s">
        <v>4</v>
      </c>
      <c r="D507" s="2">
        <v>300</v>
      </c>
      <c r="E507" s="3">
        <v>3600000</v>
      </c>
    </row>
    <row r="508" spans="1:5" x14ac:dyDescent="0.3">
      <c r="A508" s="1">
        <v>44006</v>
      </c>
      <c r="B508" t="s">
        <v>155</v>
      </c>
      <c r="C508" t="s">
        <v>4</v>
      </c>
      <c r="D508" s="2">
        <v>60</v>
      </c>
      <c r="E508" s="3">
        <v>1380000</v>
      </c>
    </row>
    <row r="509" spans="1:5" x14ac:dyDescent="0.3">
      <c r="A509" s="1">
        <v>44006</v>
      </c>
      <c r="B509" t="s">
        <v>67</v>
      </c>
      <c r="C509" t="s">
        <v>3</v>
      </c>
      <c r="D509" s="2">
        <v>1150</v>
      </c>
      <c r="E509" s="3">
        <v>13570000</v>
      </c>
    </row>
    <row r="510" spans="1:5" x14ac:dyDescent="0.3">
      <c r="A510" s="1">
        <v>44007</v>
      </c>
      <c r="B510" t="s">
        <v>155</v>
      </c>
      <c r="C510" t="s">
        <v>4</v>
      </c>
      <c r="D510" s="2">
        <v>675</v>
      </c>
      <c r="E510" s="3">
        <v>8100000</v>
      </c>
    </row>
    <row r="511" spans="1:5" x14ac:dyDescent="0.3">
      <c r="A511" s="1">
        <v>44007</v>
      </c>
      <c r="B511" t="s">
        <v>155</v>
      </c>
      <c r="C511" t="s">
        <v>4</v>
      </c>
      <c r="D511" s="2">
        <v>135</v>
      </c>
      <c r="E511" s="3">
        <v>3105000</v>
      </c>
    </row>
    <row r="512" spans="1:5" x14ac:dyDescent="0.3">
      <c r="A512" s="1">
        <v>44008</v>
      </c>
      <c r="B512" t="s">
        <v>106</v>
      </c>
      <c r="C512" t="s">
        <v>3</v>
      </c>
      <c r="D512" s="2">
        <v>2000</v>
      </c>
      <c r="E512" s="3">
        <v>23600000</v>
      </c>
    </row>
    <row r="513" spans="1:5" x14ac:dyDescent="0.3">
      <c r="A513" s="1">
        <v>44008</v>
      </c>
      <c r="B513" t="s">
        <v>72</v>
      </c>
      <c r="C513" t="s">
        <v>3</v>
      </c>
      <c r="D513" s="2">
        <v>300</v>
      </c>
      <c r="E513" s="3">
        <v>3540000</v>
      </c>
    </row>
    <row r="514" spans="1:5" x14ac:dyDescent="0.3">
      <c r="A514" s="1">
        <v>44008</v>
      </c>
      <c r="B514" t="s">
        <v>50</v>
      </c>
      <c r="C514" t="s">
        <v>4</v>
      </c>
      <c r="D514" s="2">
        <v>570</v>
      </c>
      <c r="E514" s="3">
        <v>5814000</v>
      </c>
    </row>
    <row r="515" spans="1:5" x14ac:dyDescent="0.3">
      <c r="A515" s="1">
        <v>44011</v>
      </c>
      <c r="B515" t="s">
        <v>156</v>
      </c>
      <c r="C515" t="s">
        <v>4</v>
      </c>
      <c r="D515" s="2">
        <v>1000</v>
      </c>
      <c r="E515" s="3">
        <v>10500000</v>
      </c>
    </row>
    <row r="516" spans="1:5" x14ac:dyDescent="0.3">
      <c r="A516" s="1">
        <v>44011</v>
      </c>
      <c r="B516" t="s">
        <v>122</v>
      </c>
      <c r="C516" t="s">
        <v>4</v>
      </c>
      <c r="D516" s="2">
        <v>4000</v>
      </c>
      <c r="E516" s="3">
        <v>42000000</v>
      </c>
    </row>
    <row r="517" spans="1:5" x14ac:dyDescent="0.3">
      <c r="A517" s="1">
        <v>44011</v>
      </c>
      <c r="B517" t="s">
        <v>121</v>
      </c>
      <c r="C517" t="s">
        <v>4</v>
      </c>
      <c r="D517" s="2">
        <v>5000</v>
      </c>
      <c r="E517" s="3">
        <v>52500000</v>
      </c>
    </row>
    <row r="518" spans="1:5" x14ac:dyDescent="0.3">
      <c r="A518" s="1">
        <v>44011</v>
      </c>
      <c r="B518" t="s">
        <v>90</v>
      </c>
      <c r="C518" t="s">
        <v>4</v>
      </c>
      <c r="D518" s="2">
        <v>1000</v>
      </c>
      <c r="E518" s="3">
        <v>10500000</v>
      </c>
    </row>
    <row r="519" spans="1:5" x14ac:dyDescent="0.3">
      <c r="A519" s="1">
        <v>44011</v>
      </c>
      <c r="B519" t="s">
        <v>153</v>
      </c>
      <c r="C519" t="s">
        <v>4</v>
      </c>
      <c r="D519" s="2">
        <v>5000</v>
      </c>
      <c r="E519" s="3">
        <v>52500000</v>
      </c>
    </row>
    <row r="520" spans="1:5" x14ac:dyDescent="0.3">
      <c r="A520" s="1">
        <v>44011</v>
      </c>
      <c r="B520" t="s">
        <v>119</v>
      </c>
      <c r="C520" t="s">
        <v>4</v>
      </c>
      <c r="D520" s="2">
        <v>1000</v>
      </c>
      <c r="E520" s="3">
        <v>10500000</v>
      </c>
    </row>
    <row r="521" spans="1:5" x14ac:dyDescent="0.3">
      <c r="A521" s="1">
        <v>44011</v>
      </c>
      <c r="B521" t="s">
        <v>157</v>
      </c>
      <c r="C521" t="s">
        <v>4</v>
      </c>
      <c r="D521" s="2">
        <v>2000</v>
      </c>
      <c r="E521" s="3">
        <v>21000000</v>
      </c>
    </row>
    <row r="522" spans="1:5" x14ac:dyDescent="0.3">
      <c r="A522" s="1">
        <v>44011</v>
      </c>
      <c r="B522" t="s">
        <v>101</v>
      </c>
      <c r="C522" t="s">
        <v>4</v>
      </c>
      <c r="D522" s="2">
        <v>2500</v>
      </c>
      <c r="E522" s="3">
        <v>26250000</v>
      </c>
    </row>
    <row r="523" spans="1:5" x14ac:dyDescent="0.3">
      <c r="A523" s="1">
        <v>44011</v>
      </c>
      <c r="B523" t="s">
        <v>93</v>
      </c>
      <c r="C523" t="s">
        <v>4</v>
      </c>
      <c r="D523" s="2">
        <v>1000</v>
      </c>
      <c r="E523" s="3">
        <v>10500000</v>
      </c>
    </row>
    <row r="524" spans="1:5" x14ac:dyDescent="0.3">
      <c r="A524" s="1">
        <v>44013</v>
      </c>
      <c r="B524" t="s">
        <v>70</v>
      </c>
      <c r="C524" t="s">
        <v>4</v>
      </c>
      <c r="D524" s="2">
        <v>380</v>
      </c>
      <c r="E524" s="3">
        <v>3876000</v>
      </c>
    </row>
    <row r="525" spans="1:5" x14ac:dyDescent="0.3">
      <c r="A525" s="1">
        <v>44013</v>
      </c>
      <c r="B525" t="s">
        <v>70</v>
      </c>
      <c r="C525" t="s">
        <v>3</v>
      </c>
      <c r="D525" s="2">
        <v>600</v>
      </c>
      <c r="E525" s="3">
        <v>7080000</v>
      </c>
    </row>
    <row r="526" spans="1:5" x14ac:dyDescent="0.3">
      <c r="A526" s="1">
        <v>44018</v>
      </c>
      <c r="B526" t="s">
        <v>31</v>
      </c>
      <c r="C526" t="s">
        <v>4</v>
      </c>
      <c r="D526" s="2">
        <v>105</v>
      </c>
      <c r="E526" s="3">
        <v>1102500</v>
      </c>
    </row>
    <row r="527" spans="1:5" x14ac:dyDescent="0.3">
      <c r="A527" s="1">
        <v>44018</v>
      </c>
      <c r="B527" t="s">
        <v>31</v>
      </c>
      <c r="C527" t="s">
        <v>4</v>
      </c>
      <c r="D527" s="2">
        <v>750</v>
      </c>
      <c r="E527" s="3">
        <v>7650000</v>
      </c>
    </row>
    <row r="528" spans="1:5" x14ac:dyDescent="0.3">
      <c r="A528" s="1">
        <v>44018</v>
      </c>
      <c r="B528" t="s">
        <v>31</v>
      </c>
      <c r="C528" t="s">
        <v>4</v>
      </c>
      <c r="D528" s="2">
        <v>300</v>
      </c>
      <c r="E528" s="3">
        <v>2946900</v>
      </c>
    </row>
    <row r="529" spans="1:5" x14ac:dyDescent="0.3">
      <c r="A529" s="1">
        <v>44018</v>
      </c>
      <c r="B529" t="s">
        <v>31</v>
      </c>
      <c r="C529" t="s">
        <v>3</v>
      </c>
      <c r="D529" s="2">
        <v>50</v>
      </c>
      <c r="E529" s="3">
        <v>590000</v>
      </c>
    </row>
    <row r="530" spans="1:5" x14ac:dyDescent="0.3">
      <c r="A530" s="1">
        <v>44019</v>
      </c>
      <c r="B530" t="s">
        <v>84</v>
      </c>
      <c r="C530" t="s">
        <v>4</v>
      </c>
      <c r="D530" s="2">
        <v>1000</v>
      </c>
      <c r="E530" s="3">
        <v>10500000</v>
      </c>
    </row>
    <row r="531" spans="1:5" x14ac:dyDescent="0.3">
      <c r="A531" s="1">
        <v>44019</v>
      </c>
      <c r="B531" t="s">
        <v>101</v>
      </c>
      <c r="C531" t="s">
        <v>4</v>
      </c>
      <c r="D531" s="2">
        <v>2000</v>
      </c>
      <c r="E531" s="3">
        <v>21000000</v>
      </c>
    </row>
    <row r="532" spans="1:5" x14ac:dyDescent="0.3">
      <c r="A532" s="1">
        <v>44019</v>
      </c>
      <c r="B532" t="s">
        <v>154</v>
      </c>
      <c r="C532" t="s">
        <v>4</v>
      </c>
      <c r="D532" s="2">
        <v>500</v>
      </c>
      <c r="E532" s="3">
        <v>5250000</v>
      </c>
    </row>
    <row r="533" spans="1:5" x14ac:dyDescent="0.3">
      <c r="A533" s="1">
        <v>44019</v>
      </c>
      <c r="B533" t="s">
        <v>158</v>
      </c>
      <c r="C533" t="s">
        <v>4</v>
      </c>
      <c r="D533" s="2">
        <v>1000</v>
      </c>
      <c r="E533" s="3">
        <v>10500000</v>
      </c>
    </row>
    <row r="534" spans="1:5" x14ac:dyDescent="0.3">
      <c r="A534" s="1">
        <v>44019</v>
      </c>
      <c r="B534" t="s">
        <v>140</v>
      </c>
      <c r="C534" t="s">
        <v>4</v>
      </c>
      <c r="D534" s="2">
        <v>1200</v>
      </c>
      <c r="E534" s="3">
        <v>12600000</v>
      </c>
    </row>
    <row r="535" spans="1:5" x14ac:dyDescent="0.3">
      <c r="A535" s="1">
        <v>44019</v>
      </c>
      <c r="B535" t="s">
        <v>122</v>
      </c>
      <c r="C535" t="s">
        <v>4</v>
      </c>
      <c r="D535" s="2">
        <v>3000</v>
      </c>
      <c r="E535" s="3">
        <v>31500000</v>
      </c>
    </row>
    <row r="536" spans="1:5" x14ac:dyDescent="0.3">
      <c r="A536" s="1">
        <v>44019</v>
      </c>
      <c r="B536" t="s">
        <v>125</v>
      </c>
      <c r="C536" t="s">
        <v>4</v>
      </c>
      <c r="D536" s="2">
        <v>380</v>
      </c>
      <c r="E536" s="3">
        <v>3990000</v>
      </c>
    </row>
    <row r="537" spans="1:5" x14ac:dyDescent="0.3">
      <c r="A537" s="1">
        <v>44020</v>
      </c>
      <c r="B537" t="s">
        <v>72</v>
      </c>
      <c r="C537" t="s">
        <v>4</v>
      </c>
      <c r="D537" s="2">
        <v>470</v>
      </c>
      <c r="E537" s="3">
        <v>4794000</v>
      </c>
    </row>
    <row r="538" spans="1:5" x14ac:dyDescent="0.3">
      <c r="A538" s="1">
        <v>44020</v>
      </c>
      <c r="B538" t="s">
        <v>72</v>
      </c>
      <c r="C538" t="s">
        <v>3</v>
      </c>
      <c r="D538" s="2">
        <v>350</v>
      </c>
      <c r="E538" s="3">
        <v>4130000</v>
      </c>
    </row>
    <row r="539" spans="1:5" x14ac:dyDescent="0.3">
      <c r="A539" s="1">
        <v>44022</v>
      </c>
      <c r="B539" t="s">
        <v>12</v>
      </c>
      <c r="C539" t="s">
        <v>3</v>
      </c>
      <c r="D539" s="2">
        <v>1900</v>
      </c>
      <c r="E539" s="3">
        <v>22420000</v>
      </c>
    </row>
    <row r="540" spans="1:5" x14ac:dyDescent="0.3">
      <c r="A540" s="1">
        <v>44025</v>
      </c>
      <c r="B540" t="s">
        <v>36</v>
      </c>
      <c r="C540" t="s">
        <v>4</v>
      </c>
      <c r="D540" s="2">
        <v>100</v>
      </c>
      <c r="E540" s="3">
        <v>1050000</v>
      </c>
    </row>
    <row r="541" spans="1:5" x14ac:dyDescent="0.3">
      <c r="A541" s="1">
        <v>44025</v>
      </c>
      <c r="B541" t="s">
        <v>36</v>
      </c>
      <c r="C541" t="s">
        <v>4</v>
      </c>
      <c r="D541" s="2">
        <v>150</v>
      </c>
      <c r="E541" s="3">
        <v>1473450</v>
      </c>
    </row>
    <row r="542" spans="1:5" x14ac:dyDescent="0.3">
      <c r="A542" s="1">
        <v>44025</v>
      </c>
      <c r="B542" t="s">
        <v>36</v>
      </c>
      <c r="C542" t="s">
        <v>4</v>
      </c>
      <c r="D542" s="2">
        <v>29</v>
      </c>
      <c r="E542" s="3">
        <v>667000</v>
      </c>
    </row>
    <row r="543" spans="1:5" x14ac:dyDescent="0.3">
      <c r="A543" s="1">
        <v>44025</v>
      </c>
      <c r="B543" t="s">
        <v>36</v>
      </c>
      <c r="C543" t="s">
        <v>3</v>
      </c>
      <c r="D543" s="2">
        <v>50</v>
      </c>
      <c r="E543" s="3">
        <v>590000</v>
      </c>
    </row>
    <row r="544" spans="1:5" x14ac:dyDescent="0.3">
      <c r="A544" s="1">
        <v>44025</v>
      </c>
      <c r="B544" t="s">
        <v>152</v>
      </c>
      <c r="C544" t="s">
        <v>4</v>
      </c>
      <c r="D544" s="2">
        <v>4000</v>
      </c>
      <c r="E544" s="3">
        <v>42000000</v>
      </c>
    </row>
    <row r="545" spans="1:5" x14ac:dyDescent="0.3">
      <c r="A545" s="1">
        <v>44025</v>
      </c>
      <c r="B545" t="s">
        <v>159</v>
      </c>
      <c r="C545" t="s">
        <v>4</v>
      </c>
      <c r="D545" s="2">
        <v>1500</v>
      </c>
      <c r="E545" s="3">
        <v>15750000</v>
      </c>
    </row>
    <row r="546" spans="1:5" x14ac:dyDescent="0.3">
      <c r="A546" s="1">
        <v>44025</v>
      </c>
      <c r="B546" t="s">
        <v>130</v>
      </c>
      <c r="C546" t="s">
        <v>4</v>
      </c>
      <c r="D546" s="2">
        <v>2000</v>
      </c>
      <c r="E546" s="3">
        <v>21000000</v>
      </c>
    </row>
    <row r="547" spans="1:5" x14ac:dyDescent="0.3">
      <c r="A547" s="1">
        <v>44025</v>
      </c>
      <c r="B547" t="s">
        <v>142</v>
      </c>
      <c r="C547" t="s">
        <v>4</v>
      </c>
      <c r="D547" s="2">
        <v>2000</v>
      </c>
      <c r="E547" s="3">
        <v>21000000</v>
      </c>
    </row>
    <row r="548" spans="1:5" x14ac:dyDescent="0.3">
      <c r="A548" s="1">
        <v>44025</v>
      </c>
      <c r="B548" t="s">
        <v>135</v>
      </c>
      <c r="C548" t="s">
        <v>4</v>
      </c>
      <c r="D548" s="2">
        <v>200</v>
      </c>
      <c r="E548" s="3">
        <v>2100000</v>
      </c>
    </row>
    <row r="549" spans="1:5" x14ac:dyDescent="0.3">
      <c r="A549" s="1">
        <v>44025</v>
      </c>
      <c r="B549" t="s">
        <v>136</v>
      </c>
      <c r="C549" t="s">
        <v>4</v>
      </c>
      <c r="D549" s="2">
        <v>350</v>
      </c>
      <c r="E549" s="3">
        <v>3675000</v>
      </c>
    </row>
    <row r="550" spans="1:5" x14ac:dyDescent="0.3">
      <c r="A550" s="1">
        <v>44025</v>
      </c>
      <c r="B550" t="s">
        <v>111</v>
      </c>
      <c r="C550" t="s">
        <v>4</v>
      </c>
      <c r="D550" s="2">
        <v>6000</v>
      </c>
      <c r="E550" s="3">
        <v>63000000</v>
      </c>
    </row>
    <row r="551" spans="1:5" x14ac:dyDescent="0.3">
      <c r="A551" s="1">
        <v>44025</v>
      </c>
      <c r="B551" t="s">
        <v>160</v>
      </c>
      <c r="C551" t="s">
        <v>4</v>
      </c>
      <c r="D551" s="2">
        <v>5000</v>
      </c>
      <c r="E551" s="3">
        <v>52500000</v>
      </c>
    </row>
    <row r="552" spans="1:5" x14ac:dyDescent="0.3">
      <c r="A552" s="1">
        <v>44025</v>
      </c>
      <c r="B552" t="s">
        <v>161</v>
      </c>
      <c r="C552" t="s">
        <v>4</v>
      </c>
      <c r="D552" s="2">
        <v>5000</v>
      </c>
      <c r="E552" s="3">
        <v>52500000</v>
      </c>
    </row>
    <row r="553" spans="1:5" x14ac:dyDescent="0.3">
      <c r="A553" s="1">
        <v>44025</v>
      </c>
      <c r="B553" t="s">
        <v>113</v>
      </c>
      <c r="C553" t="s">
        <v>4</v>
      </c>
      <c r="D553" s="2">
        <v>1000</v>
      </c>
      <c r="E553" s="3">
        <v>10500000</v>
      </c>
    </row>
    <row r="554" spans="1:5" x14ac:dyDescent="0.3">
      <c r="A554" s="1">
        <v>44025</v>
      </c>
      <c r="B554" t="s">
        <v>140</v>
      </c>
      <c r="C554" t="s">
        <v>4</v>
      </c>
      <c r="D554" s="2">
        <v>460</v>
      </c>
      <c r="E554" s="3">
        <v>4830000</v>
      </c>
    </row>
    <row r="555" spans="1:5" x14ac:dyDescent="0.3">
      <c r="A555" s="1">
        <v>44025</v>
      </c>
      <c r="B555" t="s">
        <v>73</v>
      </c>
      <c r="C555" t="s">
        <v>4</v>
      </c>
      <c r="D555" s="2">
        <v>50000</v>
      </c>
      <c r="E555" s="3">
        <v>510000000</v>
      </c>
    </row>
    <row r="556" spans="1:5" x14ac:dyDescent="0.3">
      <c r="A556" s="1">
        <v>44026</v>
      </c>
      <c r="B556" t="s">
        <v>84</v>
      </c>
      <c r="C556" t="s">
        <v>4</v>
      </c>
      <c r="D556" s="2">
        <v>3000</v>
      </c>
      <c r="E556" s="3">
        <v>31500000</v>
      </c>
    </row>
    <row r="557" spans="1:5" x14ac:dyDescent="0.3">
      <c r="A557" s="1">
        <v>44026</v>
      </c>
      <c r="B557" t="s">
        <v>162</v>
      </c>
      <c r="C557" t="s">
        <v>4</v>
      </c>
      <c r="D557" s="2">
        <v>1500</v>
      </c>
      <c r="E557" s="3">
        <v>15750000</v>
      </c>
    </row>
    <row r="558" spans="1:5" x14ac:dyDescent="0.3">
      <c r="A558" s="1">
        <v>44026</v>
      </c>
      <c r="B558" t="s">
        <v>85</v>
      </c>
      <c r="C558" t="s">
        <v>4</v>
      </c>
      <c r="D558" s="2">
        <v>1500</v>
      </c>
      <c r="E558" s="3">
        <v>15750000</v>
      </c>
    </row>
    <row r="559" spans="1:5" x14ac:dyDescent="0.3">
      <c r="A559" s="1">
        <v>44026</v>
      </c>
      <c r="B559" t="s">
        <v>140</v>
      </c>
      <c r="C559" t="s">
        <v>4</v>
      </c>
      <c r="D559" s="2">
        <v>1500</v>
      </c>
      <c r="E559" s="3">
        <v>15750000</v>
      </c>
    </row>
    <row r="560" spans="1:5" x14ac:dyDescent="0.3">
      <c r="A560" s="1">
        <v>44026</v>
      </c>
      <c r="B560" t="s">
        <v>107</v>
      </c>
      <c r="C560" t="s">
        <v>4</v>
      </c>
      <c r="D560" s="2">
        <v>1800</v>
      </c>
      <c r="E560" s="3">
        <v>18900000</v>
      </c>
    </row>
    <row r="561" spans="1:5" x14ac:dyDescent="0.3">
      <c r="A561" s="1">
        <v>44029</v>
      </c>
      <c r="B561" t="s">
        <v>93</v>
      </c>
      <c r="C561" t="s">
        <v>4</v>
      </c>
      <c r="D561" s="2">
        <v>1000</v>
      </c>
      <c r="E561" s="3">
        <v>10485000</v>
      </c>
    </row>
    <row r="562" spans="1:5" x14ac:dyDescent="0.3">
      <c r="A562" s="1">
        <v>44029</v>
      </c>
      <c r="B562" t="s">
        <v>163</v>
      </c>
      <c r="C562" t="s">
        <v>4</v>
      </c>
      <c r="D562" s="2">
        <v>2000</v>
      </c>
      <c r="E562" s="3">
        <v>20970000</v>
      </c>
    </row>
    <row r="563" spans="1:5" x14ac:dyDescent="0.3">
      <c r="A563" s="1">
        <v>44029</v>
      </c>
      <c r="B563" t="s">
        <v>108</v>
      </c>
      <c r="C563" t="s">
        <v>4</v>
      </c>
      <c r="D563" s="2">
        <v>1000</v>
      </c>
      <c r="E563" s="3">
        <v>10485000</v>
      </c>
    </row>
    <row r="564" spans="1:5" x14ac:dyDescent="0.3">
      <c r="A564" s="1">
        <v>44029</v>
      </c>
      <c r="B564" t="s">
        <v>119</v>
      </c>
      <c r="C564" t="s">
        <v>4</v>
      </c>
      <c r="D564" s="2">
        <v>1500</v>
      </c>
      <c r="E564" s="3">
        <v>15727500</v>
      </c>
    </row>
    <row r="565" spans="1:5" x14ac:dyDescent="0.3">
      <c r="A565" s="1">
        <v>44029</v>
      </c>
      <c r="B565" t="s">
        <v>96</v>
      </c>
      <c r="C565" t="s">
        <v>4</v>
      </c>
      <c r="D565" s="2">
        <v>1500</v>
      </c>
      <c r="E565" s="3">
        <v>15727500</v>
      </c>
    </row>
    <row r="566" spans="1:5" x14ac:dyDescent="0.3">
      <c r="A566" s="1">
        <v>44029</v>
      </c>
      <c r="B566" t="s">
        <v>85</v>
      </c>
      <c r="C566" t="s">
        <v>4</v>
      </c>
      <c r="D566" s="2">
        <v>1000</v>
      </c>
      <c r="E566" s="3">
        <v>10485000</v>
      </c>
    </row>
    <row r="567" spans="1:5" x14ac:dyDescent="0.3">
      <c r="A567" s="1">
        <v>44029</v>
      </c>
      <c r="B567" t="s">
        <v>94</v>
      </c>
      <c r="C567" t="s">
        <v>4</v>
      </c>
      <c r="D567" s="2">
        <v>7000</v>
      </c>
      <c r="E567" s="3">
        <v>73395000</v>
      </c>
    </row>
    <row r="568" spans="1:5" x14ac:dyDescent="0.3">
      <c r="A568" s="1">
        <v>44029</v>
      </c>
      <c r="B568" t="s">
        <v>140</v>
      </c>
      <c r="C568" t="s">
        <v>4</v>
      </c>
      <c r="D568" s="2">
        <v>100</v>
      </c>
      <c r="E568" s="3">
        <v>1048500</v>
      </c>
    </row>
    <row r="569" spans="1:5" x14ac:dyDescent="0.3">
      <c r="A569" s="1">
        <v>44029</v>
      </c>
      <c r="B569" t="s">
        <v>83</v>
      </c>
      <c r="C569" t="s">
        <v>4</v>
      </c>
      <c r="D569" s="2">
        <v>1500</v>
      </c>
      <c r="E569" s="3">
        <v>15727500</v>
      </c>
    </row>
    <row r="570" spans="1:5" x14ac:dyDescent="0.3">
      <c r="A570" s="1">
        <v>44029</v>
      </c>
      <c r="B570" t="s">
        <v>90</v>
      </c>
      <c r="C570" t="s">
        <v>4</v>
      </c>
      <c r="D570" s="2">
        <v>1000</v>
      </c>
      <c r="E570" s="3">
        <v>10485000</v>
      </c>
    </row>
    <row r="571" spans="1:5" x14ac:dyDescent="0.3">
      <c r="A571" s="1">
        <v>44029</v>
      </c>
      <c r="B571" t="s">
        <v>156</v>
      </c>
      <c r="C571" t="s">
        <v>4</v>
      </c>
      <c r="D571" s="2">
        <v>1000</v>
      </c>
      <c r="E571" s="3">
        <v>10485000</v>
      </c>
    </row>
    <row r="572" spans="1:5" x14ac:dyDescent="0.3">
      <c r="A572" s="1">
        <v>44029</v>
      </c>
      <c r="B572" t="s">
        <v>126</v>
      </c>
      <c r="C572" t="s">
        <v>4</v>
      </c>
      <c r="D572" s="2">
        <v>1000</v>
      </c>
      <c r="E572" s="3">
        <v>10485000</v>
      </c>
    </row>
    <row r="573" spans="1:5" x14ac:dyDescent="0.3">
      <c r="A573" s="1">
        <v>44029</v>
      </c>
      <c r="B573" t="s">
        <v>164</v>
      </c>
      <c r="C573" t="s">
        <v>4</v>
      </c>
      <c r="D573" s="2">
        <v>1500</v>
      </c>
      <c r="E573" s="3">
        <v>15727500</v>
      </c>
    </row>
    <row r="574" spans="1:5" x14ac:dyDescent="0.3">
      <c r="A574" s="1">
        <v>44029</v>
      </c>
      <c r="B574" t="s">
        <v>165</v>
      </c>
      <c r="C574" t="s">
        <v>4</v>
      </c>
      <c r="D574" s="2">
        <v>300</v>
      </c>
      <c r="E574" s="3">
        <v>3145500</v>
      </c>
    </row>
    <row r="575" spans="1:5" x14ac:dyDescent="0.3">
      <c r="A575" s="1">
        <v>44029</v>
      </c>
      <c r="B575" t="s">
        <v>133</v>
      </c>
      <c r="C575" t="s">
        <v>4</v>
      </c>
      <c r="D575" s="2">
        <v>2000</v>
      </c>
      <c r="E575" s="3">
        <v>20970000</v>
      </c>
    </row>
    <row r="576" spans="1:5" x14ac:dyDescent="0.3">
      <c r="A576" s="1">
        <v>44029</v>
      </c>
      <c r="B576" t="s">
        <v>95</v>
      </c>
      <c r="C576" t="s">
        <v>4</v>
      </c>
      <c r="D576" s="2">
        <v>1500</v>
      </c>
      <c r="E576" s="3">
        <v>15727500</v>
      </c>
    </row>
    <row r="577" spans="1:5" x14ac:dyDescent="0.3">
      <c r="A577" s="1">
        <v>44029</v>
      </c>
      <c r="B577" t="s">
        <v>12</v>
      </c>
      <c r="C577" t="s">
        <v>4</v>
      </c>
      <c r="D577" s="2">
        <v>1550</v>
      </c>
      <c r="E577" s="3">
        <v>15538750</v>
      </c>
    </row>
    <row r="578" spans="1:5" x14ac:dyDescent="0.3">
      <c r="A578" s="1">
        <v>44032</v>
      </c>
      <c r="B578" t="s">
        <v>102</v>
      </c>
      <c r="C578" t="s">
        <v>4</v>
      </c>
      <c r="D578" s="2">
        <v>1500</v>
      </c>
      <c r="E578" s="3">
        <v>15727500</v>
      </c>
    </row>
    <row r="579" spans="1:5" x14ac:dyDescent="0.3">
      <c r="A579" s="1">
        <v>44032</v>
      </c>
      <c r="B579" t="s">
        <v>109</v>
      </c>
      <c r="C579" t="s">
        <v>4</v>
      </c>
      <c r="D579" s="2">
        <v>3500</v>
      </c>
      <c r="E579" s="3">
        <v>36697500</v>
      </c>
    </row>
    <row r="580" spans="1:5" x14ac:dyDescent="0.3">
      <c r="A580" s="1">
        <v>44032</v>
      </c>
      <c r="B580" t="s">
        <v>117</v>
      </c>
      <c r="C580" t="s">
        <v>4</v>
      </c>
      <c r="D580" s="2">
        <v>5000</v>
      </c>
      <c r="E580" s="3">
        <v>52425000</v>
      </c>
    </row>
    <row r="581" spans="1:5" x14ac:dyDescent="0.3">
      <c r="A581" s="1">
        <v>44032</v>
      </c>
      <c r="B581" t="s">
        <v>85</v>
      </c>
      <c r="C581" t="s">
        <v>4</v>
      </c>
      <c r="D581" s="2">
        <v>2000</v>
      </c>
      <c r="E581" s="3">
        <v>20970000</v>
      </c>
    </row>
    <row r="582" spans="1:5" x14ac:dyDescent="0.3">
      <c r="A582" s="1">
        <v>44032</v>
      </c>
      <c r="B582" t="s">
        <v>101</v>
      </c>
      <c r="C582" t="s">
        <v>4</v>
      </c>
      <c r="D582" s="2">
        <v>2500</v>
      </c>
      <c r="E582" s="3">
        <v>26212500</v>
      </c>
    </row>
    <row r="583" spans="1:5" x14ac:dyDescent="0.3">
      <c r="A583" s="1">
        <v>44032</v>
      </c>
      <c r="B583" t="s">
        <v>140</v>
      </c>
      <c r="C583" t="s">
        <v>4</v>
      </c>
      <c r="D583" s="2">
        <v>760</v>
      </c>
      <c r="E583" s="3">
        <v>7968600</v>
      </c>
    </row>
    <row r="584" spans="1:5" x14ac:dyDescent="0.3">
      <c r="A584" s="1">
        <v>44032</v>
      </c>
      <c r="B584" t="s">
        <v>166</v>
      </c>
      <c r="C584" t="s">
        <v>4</v>
      </c>
      <c r="D584" s="2">
        <v>5000</v>
      </c>
      <c r="E584" s="3">
        <v>52425000</v>
      </c>
    </row>
    <row r="585" spans="1:5" x14ac:dyDescent="0.3">
      <c r="A585" s="1">
        <v>44033</v>
      </c>
      <c r="B585" t="s">
        <v>70</v>
      </c>
      <c r="C585" t="s">
        <v>4</v>
      </c>
      <c r="D585" s="2">
        <v>1400</v>
      </c>
      <c r="E585" s="3">
        <v>14035000</v>
      </c>
    </row>
    <row r="586" spans="1:5" x14ac:dyDescent="0.3">
      <c r="A586" s="1">
        <v>44033</v>
      </c>
      <c r="B586" t="s">
        <v>70</v>
      </c>
      <c r="C586" t="s">
        <v>3</v>
      </c>
      <c r="D586" s="2">
        <v>450</v>
      </c>
      <c r="E586" s="3">
        <v>5310000</v>
      </c>
    </row>
    <row r="587" spans="1:5" x14ac:dyDescent="0.3">
      <c r="A587" s="1">
        <v>44033</v>
      </c>
      <c r="B587" t="s">
        <v>140</v>
      </c>
      <c r="C587" t="s">
        <v>4</v>
      </c>
      <c r="D587" s="2">
        <v>180</v>
      </c>
      <c r="E587" s="3">
        <v>1887300</v>
      </c>
    </row>
    <row r="588" spans="1:5" x14ac:dyDescent="0.3">
      <c r="A588" s="1">
        <v>44033</v>
      </c>
      <c r="B588" t="s">
        <v>122</v>
      </c>
      <c r="C588" t="s">
        <v>4</v>
      </c>
      <c r="D588" s="2">
        <v>5000</v>
      </c>
      <c r="E588" s="3">
        <v>52425000</v>
      </c>
    </row>
    <row r="589" spans="1:5" x14ac:dyDescent="0.3">
      <c r="A589" s="1">
        <v>44033</v>
      </c>
      <c r="B589" t="s">
        <v>156</v>
      </c>
      <c r="C589" t="s">
        <v>4</v>
      </c>
      <c r="D589" s="2">
        <v>1000</v>
      </c>
      <c r="E589" s="3">
        <v>10485000</v>
      </c>
    </row>
    <row r="590" spans="1:5" x14ac:dyDescent="0.3">
      <c r="A590" s="1">
        <v>44033</v>
      </c>
      <c r="B590" t="s">
        <v>91</v>
      </c>
      <c r="C590" t="s">
        <v>4</v>
      </c>
      <c r="D590" s="2">
        <v>2500</v>
      </c>
      <c r="E590" s="3">
        <v>26212500</v>
      </c>
    </row>
    <row r="591" spans="1:5" x14ac:dyDescent="0.3">
      <c r="A591" s="1">
        <v>44033</v>
      </c>
      <c r="B591" t="s">
        <v>167</v>
      </c>
      <c r="C591" t="s">
        <v>4</v>
      </c>
      <c r="D591" s="2">
        <v>1000</v>
      </c>
      <c r="E591" s="3">
        <v>10485000</v>
      </c>
    </row>
    <row r="592" spans="1:5" x14ac:dyDescent="0.3">
      <c r="A592" s="1">
        <v>44033</v>
      </c>
      <c r="B592" t="s">
        <v>150</v>
      </c>
      <c r="C592" t="s">
        <v>4</v>
      </c>
      <c r="D592" s="2">
        <v>1500</v>
      </c>
      <c r="E592" s="3">
        <v>15727500</v>
      </c>
    </row>
    <row r="593" spans="1:5" x14ac:dyDescent="0.3">
      <c r="A593" s="1">
        <v>44033</v>
      </c>
      <c r="B593" t="s">
        <v>144</v>
      </c>
      <c r="C593" t="s">
        <v>4</v>
      </c>
      <c r="D593" s="2">
        <v>700</v>
      </c>
      <c r="E593" s="3">
        <v>7339500</v>
      </c>
    </row>
    <row r="594" spans="1:5" x14ac:dyDescent="0.3">
      <c r="A594" s="1">
        <v>44033</v>
      </c>
      <c r="B594" t="s">
        <v>131</v>
      </c>
      <c r="C594" t="s">
        <v>4</v>
      </c>
      <c r="D594" s="2">
        <v>500</v>
      </c>
      <c r="E594" s="3">
        <v>5242500</v>
      </c>
    </row>
    <row r="595" spans="1:5" x14ac:dyDescent="0.3">
      <c r="A595" s="1">
        <v>44033</v>
      </c>
      <c r="B595" t="s">
        <v>151</v>
      </c>
      <c r="C595" t="s">
        <v>4</v>
      </c>
      <c r="D595" s="2">
        <v>500</v>
      </c>
      <c r="E595" s="3">
        <v>5242500</v>
      </c>
    </row>
    <row r="596" spans="1:5" x14ac:dyDescent="0.3">
      <c r="A596" s="1">
        <v>44033</v>
      </c>
      <c r="B596" t="s">
        <v>48</v>
      </c>
      <c r="C596" t="s">
        <v>4</v>
      </c>
      <c r="D596" s="2">
        <v>180</v>
      </c>
      <c r="E596" s="3">
        <v>2160000</v>
      </c>
    </row>
    <row r="597" spans="1:5" x14ac:dyDescent="0.3">
      <c r="A597" s="1">
        <v>44033</v>
      </c>
      <c r="B597" t="s">
        <v>48</v>
      </c>
      <c r="C597" t="s">
        <v>4</v>
      </c>
      <c r="D597" s="2">
        <v>72</v>
      </c>
      <c r="E597" s="3">
        <v>1656000</v>
      </c>
    </row>
    <row r="598" spans="1:5" x14ac:dyDescent="0.3">
      <c r="A598" s="1">
        <v>44040</v>
      </c>
      <c r="B598" t="s">
        <v>31</v>
      </c>
      <c r="C598" t="s">
        <v>7</v>
      </c>
      <c r="D598" s="2">
        <v>200</v>
      </c>
      <c r="E598" s="3">
        <v>1600000</v>
      </c>
    </row>
    <row r="599" spans="1:5" x14ac:dyDescent="0.3">
      <c r="A599" s="1">
        <v>44040</v>
      </c>
      <c r="B599" t="s">
        <v>138</v>
      </c>
      <c r="C599" t="s">
        <v>4</v>
      </c>
      <c r="D599" s="2">
        <v>4500</v>
      </c>
      <c r="E599" s="3">
        <v>47182500</v>
      </c>
    </row>
    <row r="600" spans="1:5" x14ac:dyDescent="0.3">
      <c r="A600" s="1">
        <v>44040</v>
      </c>
      <c r="B600" t="s">
        <v>121</v>
      </c>
      <c r="C600" t="s">
        <v>4</v>
      </c>
      <c r="D600" s="2">
        <v>6000</v>
      </c>
      <c r="E600" s="3">
        <v>62910000</v>
      </c>
    </row>
    <row r="601" spans="1:5" x14ac:dyDescent="0.3">
      <c r="A601" s="1">
        <v>44047</v>
      </c>
      <c r="B601" t="s">
        <v>62</v>
      </c>
      <c r="C601" t="s">
        <v>7</v>
      </c>
      <c r="D601" s="2">
        <v>700</v>
      </c>
      <c r="E601" s="3">
        <v>5600000</v>
      </c>
    </row>
    <row r="602" spans="1:5" x14ac:dyDescent="0.3">
      <c r="A602" s="1">
        <v>44054</v>
      </c>
      <c r="B602" t="s">
        <v>50</v>
      </c>
      <c r="C602" t="s">
        <v>4</v>
      </c>
      <c r="D602" s="2">
        <v>150</v>
      </c>
      <c r="E602" s="3">
        <v>1571250</v>
      </c>
    </row>
    <row r="603" spans="1:5" x14ac:dyDescent="0.3">
      <c r="A603" s="1">
        <v>44054</v>
      </c>
      <c r="B603" t="s">
        <v>50</v>
      </c>
      <c r="C603" t="s">
        <v>4</v>
      </c>
      <c r="D603" s="2">
        <v>1500</v>
      </c>
      <c r="E603" s="3">
        <v>15285000</v>
      </c>
    </row>
    <row r="604" spans="1:5" x14ac:dyDescent="0.3">
      <c r="A604" s="1">
        <v>44054</v>
      </c>
      <c r="B604" t="s">
        <v>51</v>
      </c>
      <c r="C604" t="s">
        <v>4</v>
      </c>
      <c r="D604" s="2">
        <v>100</v>
      </c>
      <c r="E604" s="3">
        <v>1047500</v>
      </c>
    </row>
    <row r="605" spans="1:5" x14ac:dyDescent="0.3">
      <c r="A605" s="1">
        <v>44054</v>
      </c>
      <c r="B605" t="s">
        <v>51</v>
      </c>
      <c r="C605" t="s">
        <v>4</v>
      </c>
      <c r="D605" s="2">
        <v>1200</v>
      </c>
      <c r="E605" s="3">
        <v>12228000</v>
      </c>
    </row>
    <row r="606" spans="1:5" x14ac:dyDescent="0.3">
      <c r="A606" s="1">
        <v>44054</v>
      </c>
      <c r="B606" t="s">
        <v>27</v>
      </c>
      <c r="C606" t="s">
        <v>4</v>
      </c>
      <c r="D606" s="2">
        <v>100</v>
      </c>
      <c r="E606" s="3">
        <v>1047500</v>
      </c>
    </row>
    <row r="607" spans="1:5" x14ac:dyDescent="0.3">
      <c r="A607" s="1">
        <v>44054</v>
      </c>
      <c r="B607" t="s">
        <v>27</v>
      </c>
      <c r="C607" t="s">
        <v>4</v>
      </c>
      <c r="D607" s="2">
        <v>1100</v>
      </c>
      <c r="E607" s="3">
        <v>11209000</v>
      </c>
    </row>
    <row r="608" spans="1:5" x14ac:dyDescent="0.3">
      <c r="A608" s="1">
        <v>44054</v>
      </c>
      <c r="B608" t="s">
        <v>36</v>
      </c>
      <c r="C608" t="s">
        <v>4</v>
      </c>
      <c r="D608" s="2">
        <v>100</v>
      </c>
      <c r="E608" s="3">
        <v>1047500</v>
      </c>
    </row>
    <row r="609" spans="1:5" x14ac:dyDescent="0.3">
      <c r="A609" s="1">
        <v>44054</v>
      </c>
      <c r="B609" t="s">
        <v>36</v>
      </c>
      <c r="C609" t="s">
        <v>4</v>
      </c>
      <c r="D609" s="2">
        <v>1020</v>
      </c>
      <c r="E609" s="3">
        <v>10393800</v>
      </c>
    </row>
    <row r="610" spans="1:5" x14ac:dyDescent="0.3">
      <c r="A610" s="1">
        <v>44054</v>
      </c>
      <c r="B610" t="s">
        <v>36</v>
      </c>
      <c r="C610" t="s">
        <v>4</v>
      </c>
      <c r="D610" s="2">
        <v>1100</v>
      </c>
      <c r="E610" s="3">
        <v>10809700</v>
      </c>
    </row>
    <row r="611" spans="1:5" x14ac:dyDescent="0.3">
      <c r="A611" s="1">
        <v>44054</v>
      </c>
      <c r="B611" t="s">
        <v>36</v>
      </c>
      <c r="C611" t="s">
        <v>3</v>
      </c>
      <c r="D611" s="2">
        <v>250</v>
      </c>
      <c r="E611" s="3">
        <v>2950000</v>
      </c>
    </row>
    <row r="612" spans="1:5" x14ac:dyDescent="0.3">
      <c r="A612" s="1">
        <v>44054</v>
      </c>
      <c r="B612" t="s">
        <v>98</v>
      </c>
      <c r="C612" t="s">
        <v>4</v>
      </c>
      <c r="D612" s="2">
        <v>17000</v>
      </c>
      <c r="E612" s="3">
        <v>178245000</v>
      </c>
    </row>
    <row r="613" spans="1:5" x14ac:dyDescent="0.3">
      <c r="A613" s="1">
        <v>44054</v>
      </c>
      <c r="B613" t="s">
        <v>168</v>
      </c>
      <c r="C613" t="s">
        <v>4</v>
      </c>
      <c r="D613" s="2">
        <v>1500</v>
      </c>
      <c r="E613" s="3">
        <v>15727500</v>
      </c>
    </row>
    <row r="614" spans="1:5" x14ac:dyDescent="0.3">
      <c r="A614" s="1">
        <v>44054</v>
      </c>
      <c r="B614" t="s">
        <v>153</v>
      </c>
      <c r="C614" t="s">
        <v>4</v>
      </c>
      <c r="D614" s="2">
        <v>9000</v>
      </c>
      <c r="E614" s="3">
        <v>94365000</v>
      </c>
    </row>
    <row r="615" spans="1:5" x14ac:dyDescent="0.3">
      <c r="A615" s="1">
        <v>44054</v>
      </c>
      <c r="B615" t="s">
        <v>152</v>
      </c>
      <c r="C615" t="s">
        <v>4</v>
      </c>
      <c r="D615" s="2">
        <v>12000</v>
      </c>
      <c r="E615" s="3">
        <v>125820000</v>
      </c>
    </row>
    <row r="616" spans="1:5" x14ac:dyDescent="0.3">
      <c r="A616" s="1">
        <v>44054</v>
      </c>
      <c r="B616" t="s">
        <v>169</v>
      </c>
      <c r="C616" t="s">
        <v>4</v>
      </c>
      <c r="D616" s="2">
        <v>4000</v>
      </c>
      <c r="E616" s="3">
        <v>41940000</v>
      </c>
    </row>
    <row r="617" spans="1:5" x14ac:dyDescent="0.3">
      <c r="A617" s="1">
        <v>44054</v>
      </c>
      <c r="B617" t="s">
        <v>170</v>
      </c>
      <c r="C617" t="s">
        <v>4</v>
      </c>
      <c r="D617" s="2">
        <v>2000</v>
      </c>
      <c r="E617" s="3">
        <v>20970000</v>
      </c>
    </row>
    <row r="618" spans="1:5" x14ac:dyDescent="0.3">
      <c r="A618" s="1">
        <v>44054</v>
      </c>
      <c r="B618" t="s">
        <v>127</v>
      </c>
      <c r="C618" t="s">
        <v>4</v>
      </c>
      <c r="D618" s="2">
        <v>2470</v>
      </c>
      <c r="E618" s="3">
        <v>25897950</v>
      </c>
    </row>
    <row r="619" spans="1:5" x14ac:dyDescent="0.3">
      <c r="A619" s="1">
        <v>44054</v>
      </c>
      <c r="B619" t="s">
        <v>108</v>
      </c>
      <c r="C619" t="s">
        <v>4</v>
      </c>
      <c r="D619" s="2">
        <v>2000</v>
      </c>
      <c r="E619" s="3">
        <v>20970000</v>
      </c>
    </row>
    <row r="620" spans="1:5" x14ac:dyDescent="0.3">
      <c r="A620" s="1">
        <v>44054</v>
      </c>
      <c r="B620" t="s">
        <v>138</v>
      </c>
      <c r="C620" t="s">
        <v>4</v>
      </c>
      <c r="D620" s="2">
        <v>1500</v>
      </c>
      <c r="E620" s="3">
        <v>15727500</v>
      </c>
    </row>
    <row r="621" spans="1:5" x14ac:dyDescent="0.3">
      <c r="A621" s="1">
        <v>44054</v>
      </c>
      <c r="B621" t="s">
        <v>97</v>
      </c>
      <c r="C621" t="s">
        <v>4</v>
      </c>
      <c r="D621" s="2">
        <v>1800</v>
      </c>
      <c r="E621" s="3">
        <v>18873000</v>
      </c>
    </row>
    <row r="622" spans="1:5" x14ac:dyDescent="0.3">
      <c r="A622" s="1">
        <v>44054</v>
      </c>
      <c r="B622" t="s">
        <v>171</v>
      </c>
      <c r="C622" t="s">
        <v>4</v>
      </c>
      <c r="D622" s="2">
        <v>1500</v>
      </c>
      <c r="E622" s="3">
        <v>15727500</v>
      </c>
    </row>
    <row r="623" spans="1:5" x14ac:dyDescent="0.3">
      <c r="A623" s="1">
        <v>44054</v>
      </c>
      <c r="B623" t="s">
        <v>128</v>
      </c>
      <c r="C623" t="s">
        <v>4</v>
      </c>
      <c r="D623" s="2">
        <v>1500</v>
      </c>
      <c r="E623" s="3">
        <v>15727500</v>
      </c>
    </row>
    <row r="624" spans="1:5" x14ac:dyDescent="0.3">
      <c r="A624" s="1">
        <v>44054</v>
      </c>
      <c r="B624" t="s">
        <v>150</v>
      </c>
      <c r="C624" t="s">
        <v>4</v>
      </c>
      <c r="D624" s="2">
        <v>1500</v>
      </c>
      <c r="E624" s="3">
        <v>15727500</v>
      </c>
    </row>
    <row r="625" spans="1:5" x14ac:dyDescent="0.3">
      <c r="A625" s="1">
        <v>44054</v>
      </c>
      <c r="B625" t="s">
        <v>130</v>
      </c>
      <c r="C625" t="s">
        <v>4</v>
      </c>
      <c r="D625" s="2">
        <v>2000</v>
      </c>
      <c r="E625" s="3">
        <v>20970000</v>
      </c>
    </row>
    <row r="626" spans="1:5" x14ac:dyDescent="0.3">
      <c r="A626" s="1">
        <v>44054</v>
      </c>
      <c r="B626" t="s">
        <v>172</v>
      </c>
      <c r="C626" t="s">
        <v>4</v>
      </c>
      <c r="D626" s="2">
        <v>1000</v>
      </c>
      <c r="E626" s="3">
        <v>10485000</v>
      </c>
    </row>
    <row r="627" spans="1:5" x14ac:dyDescent="0.3">
      <c r="A627" s="1">
        <v>44054</v>
      </c>
      <c r="B627" t="s">
        <v>164</v>
      </c>
      <c r="C627" t="s">
        <v>4</v>
      </c>
      <c r="D627" s="2">
        <v>1500</v>
      </c>
      <c r="E627" s="3">
        <v>15727500</v>
      </c>
    </row>
    <row r="628" spans="1:5" x14ac:dyDescent="0.3">
      <c r="A628" s="1">
        <v>44054</v>
      </c>
      <c r="B628" t="s">
        <v>91</v>
      </c>
      <c r="C628" t="s">
        <v>4</v>
      </c>
      <c r="D628" s="2">
        <v>2500</v>
      </c>
      <c r="E628" s="3">
        <v>26212500</v>
      </c>
    </row>
    <row r="629" spans="1:5" x14ac:dyDescent="0.3">
      <c r="A629" s="1">
        <v>44054</v>
      </c>
      <c r="B629" t="s">
        <v>124</v>
      </c>
      <c r="C629" t="s">
        <v>4</v>
      </c>
      <c r="D629" s="2">
        <v>1300</v>
      </c>
      <c r="E629" s="3">
        <v>13630500</v>
      </c>
    </row>
    <row r="630" spans="1:5" x14ac:dyDescent="0.3">
      <c r="A630" s="1">
        <v>44054</v>
      </c>
      <c r="B630" t="s">
        <v>122</v>
      </c>
      <c r="C630" t="s">
        <v>4</v>
      </c>
      <c r="D630" s="2">
        <v>1800</v>
      </c>
      <c r="E630" s="3">
        <v>18873000</v>
      </c>
    </row>
    <row r="631" spans="1:5" x14ac:dyDescent="0.3">
      <c r="A631" s="1">
        <v>44054</v>
      </c>
      <c r="B631" t="s">
        <v>160</v>
      </c>
      <c r="C631" t="s">
        <v>4</v>
      </c>
      <c r="D631" s="2">
        <v>6000</v>
      </c>
      <c r="E631" s="3">
        <v>62910000</v>
      </c>
    </row>
    <row r="632" spans="1:5" x14ac:dyDescent="0.3">
      <c r="A632" s="1">
        <v>44054</v>
      </c>
      <c r="B632" t="s">
        <v>94</v>
      </c>
      <c r="C632" t="s">
        <v>4</v>
      </c>
      <c r="D632" s="2">
        <v>3130</v>
      </c>
      <c r="E632" s="3">
        <v>32818050</v>
      </c>
    </row>
    <row r="633" spans="1:5" x14ac:dyDescent="0.3">
      <c r="A633" s="1">
        <v>44055</v>
      </c>
      <c r="B633" t="s">
        <v>25</v>
      </c>
      <c r="C633" t="s">
        <v>4</v>
      </c>
      <c r="D633" s="2">
        <v>3</v>
      </c>
      <c r="E633" s="3">
        <v>69000</v>
      </c>
    </row>
    <row r="634" spans="1:5" x14ac:dyDescent="0.3">
      <c r="A634" s="1">
        <v>44055</v>
      </c>
      <c r="B634" t="s">
        <v>25</v>
      </c>
      <c r="C634" t="s">
        <v>3</v>
      </c>
      <c r="D634" s="2">
        <v>200</v>
      </c>
      <c r="E634" s="3">
        <v>2360000</v>
      </c>
    </row>
    <row r="635" spans="1:5" x14ac:dyDescent="0.3">
      <c r="A635" s="1">
        <v>44055</v>
      </c>
      <c r="B635" t="s">
        <v>25</v>
      </c>
      <c r="C635" t="s">
        <v>7</v>
      </c>
      <c r="D635" s="2">
        <v>80</v>
      </c>
      <c r="E635" s="3">
        <v>666080</v>
      </c>
    </row>
    <row r="636" spans="1:5" x14ac:dyDescent="0.3">
      <c r="A636" s="1">
        <v>44057</v>
      </c>
      <c r="B636" t="s">
        <v>161</v>
      </c>
      <c r="C636" t="s">
        <v>4</v>
      </c>
      <c r="D636" s="2">
        <v>12000</v>
      </c>
      <c r="E636" s="3">
        <v>125820000</v>
      </c>
    </row>
    <row r="637" spans="1:5" x14ac:dyDescent="0.3">
      <c r="A637" s="1">
        <v>44057</v>
      </c>
      <c r="B637" t="s">
        <v>83</v>
      </c>
      <c r="C637" t="s">
        <v>4</v>
      </c>
      <c r="D637" s="2">
        <v>2300</v>
      </c>
      <c r="E637" s="3">
        <v>24115500</v>
      </c>
    </row>
    <row r="638" spans="1:5" x14ac:dyDescent="0.3">
      <c r="A638" s="1">
        <v>44057</v>
      </c>
      <c r="B638" t="s">
        <v>140</v>
      </c>
      <c r="C638" t="s">
        <v>4</v>
      </c>
      <c r="D638" s="2">
        <v>3000</v>
      </c>
      <c r="E638" s="3">
        <v>31455000</v>
      </c>
    </row>
    <row r="639" spans="1:5" x14ac:dyDescent="0.3">
      <c r="A639" s="1">
        <v>44057</v>
      </c>
      <c r="B639" t="s">
        <v>173</v>
      </c>
      <c r="C639" t="s">
        <v>4</v>
      </c>
      <c r="D639" s="2">
        <v>6000</v>
      </c>
      <c r="E639" s="3">
        <v>62910000</v>
      </c>
    </row>
    <row r="640" spans="1:5" x14ac:dyDescent="0.3">
      <c r="A640" s="1">
        <v>44057</v>
      </c>
      <c r="B640" t="s">
        <v>117</v>
      </c>
      <c r="C640" t="s">
        <v>4</v>
      </c>
      <c r="D640" s="2">
        <v>5500</v>
      </c>
      <c r="E640" s="3">
        <v>57667500</v>
      </c>
    </row>
    <row r="641" spans="1:5" x14ac:dyDescent="0.3">
      <c r="A641" s="1">
        <v>44057</v>
      </c>
      <c r="B641" t="s">
        <v>111</v>
      </c>
      <c r="C641" t="s">
        <v>4</v>
      </c>
      <c r="D641" s="2">
        <v>6000</v>
      </c>
      <c r="E641" s="3">
        <v>62910000</v>
      </c>
    </row>
    <row r="642" spans="1:5" x14ac:dyDescent="0.3">
      <c r="A642" s="1">
        <v>44057</v>
      </c>
      <c r="B642" t="s">
        <v>113</v>
      </c>
      <c r="C642" t="s">
        <v>4</v>
      </c>
      <c r="D642" s="2">
        <v>1200</v>
      </c>
      <c r="E642" s="3">
        <v>12582000</v>
      </c>
    </row>
    <row r="643" spans="1:5" x14ac:dyDescent="0.3">
      <c r="A643" s="1">
        <v>44057</v>
      </c>
      <c r="B643" t="s">
        <v>48</v>
      </c>
      <c r="C643" t="s">
        <v>4</v>
      </c>
      <c r="D643" s="2">
        <v>185</v>
      </c>
      <c r="E643" s="3">
        <v>2220000</v>
      </c>
    </row>
    <row r="644" spans="1:5" x14ac:dyDescent="0.3">
      <c r="A644" s="1">
        <v>44057</v>
      </c>
      <c r="B644" t="s">
        <v>48</v>
      </c>
      <c r="C644" t="s">
        <v>4</v>
      </c>
      <c r="D644" s="2">
        <v>74</v>
      </c>
      <c r="E644" s="3">
        <v>1702000</v>
      </c>
    </row>
    <row r="645" spans="1:5" x14ac:dyDescent="0.3">
      <c r="A645" s="1">
        <v>44062</v>
      </c>
      <c r="B645" t="s">
        <v>38</v>
      </c>
      <c r="C645" t="s">
        <v>4</v>
      </c>
      <c r="D645" s="2">
        <v>350</v>
      </c>
      <c r="E645" s="3">
        <v>3666250</v>
      </c>
    </row>
    <row r="646" spans="1:5" x14ac:dyDescent="0.3">
      <c r="A646" s="1">
        <v>44062</v>
      </c>
      <c r="B646" t="s">
        <v>38</v>
      </c>
      <c r="C646" t="s">
        <v>4</v>
      </c>
      <c r="D646" s="2">
        <v>1000</v>
      </c>
      <c r="E646" s="3">
        <v>9827000</v>
      </c>
    </row>
    <row r="647" spans="1:5" x14ac:dyDescent="0.3">
      <c r="A647" s="1">
        <v>44062</v>
      </c>
      <c r="B647" t="s">
        <v>38</v>
      </c>
      <c r="C647" t="s">
        <v>3</v>
      </c>
      <c r="D647" s="2">
        <v>150</v>
      </c>
      <c r="E647" s="3">
        <v>1770000</v>
      </c>
    </row>
    <row r="648" spans="1:5" x14ac:dyDescent="0.3">
      <c r="A648" s="1">
        <v>44067</v>
      </c>
      <c r="B648" t="s">
        <v>51</v>
      </c>
      <c r="C648" t="s">
        <v>4</v>
      </c>
      <c r="D648" s="2">
        <v>65</v>
      </c>
      <c r="E648" s="3">
        <v>680875</v>
      </c>
    </row>
    <row r="649" spans="1:5" x14ac:dyDescent="0.3">
      <c r="A649" s="1">
        <v>44067</v>
      </c>
      <c r="B649" t="s">
        <v>51</v>
      </c>
      <c r="C649" t="s">
        <v>4</v>
      </c>
      <c r="D649" s="2">
        <v>1000</v>
      </c>
      <c r="E649" s="3">
        <v>10190000</v>
      </c>
    </row>
    <row r="650" spans="1:5" x14ac:dyDescent="0.3">
      <c r="A650" s="1">
        <v>44067</v>
      </c>
      <c r="B650" t="s">
        <v>51</v>
      </c>
      <c r="C650" t="s">
        <v>7</v>
      </c>
      <c r="D650" s="2">
        <v>20</v>
      </c>
      <c r="E650" s="3">
        <v>166520</v>
      </c>
    </row>
    <row r="651" spans="1:5" x14ac:dyDescent="0.3">
      <c r="A651" s="1">
        <v>44067</v>
      </c>
      <c r="B651" t="s">
        <v>113</v>
      </c>
      <c r="C651" t="s">
        <v>4</v>
      </c>
      <c r="D651" s="2">
        <v>1500</v>
      </c>
      <c r="E651" s="3">
        <v>15727500</v>
      </c>
    </row>
    <row r="652" spans="1:5" x14ac:dyDescent="0.3">
      <c r="A652" s="1">
        <v>44067</v>
      </c>
      <c r="B652" t="s">
        <v>93</v>
      </c>
      <c r="C652" t="s">
        <v>4</v>
      </c>
      <c r="D652" s="2">
        <v>1000</v>
      </c>
      <c r="E652" s="3">
        <v>10485000</v>
      </c>
    </row>
    <row r="653" spans="1:5" x14ac:dyDescent="0.3">
      <c r="A653" s="1">
        <v>44067</v>
      </c>
      <c r="B653" t="s">
        <v>96</v>
      </c>
      <c r="C653" t="s">
        <v>4</v>
      </c>
      <c r="D653" s="2">
        <v>2000</v>
      </c>
      <c r="E653" s="3">
        <v>20970000</v>
      </c>
    </row>
    <row r="654" spans="1:5" x14ac:dyDescent="0.3">
      <c r="A654" s="1">
        <v>44067</v>
      </c>
      <c r="B654" t="s">
        <v>86</v>
      </c>
      <c r="C654" t="s">
        <v>4</v>
      </c>
      <c r="D654" s="2">
        <v>2000</v>
      </c>
      <c r="E654" s="3">
        <v>20970000</v>
      </c>
    </row>
    <row r="655" spans="1:5" x14ac:dyDescent="0.3">
      <c r="A655" s="1">
        <v>44067</v>
      </c>
      <c r="B655" t="s">
        <v>158</v>
      </c>
      <c r="C655" t="s">
        <v>4</v>
      </c>
      <c r="D655" s="2">
        <v>1000</v>
      </c>
      <c r="E655" s="3">
        <v>10485000</v>
      </c>
    </row>
    <row r="656" spans="1:5" x14ac:dyDescent="0.3">
      <c r="A656" s="1">
        <v>44067</v>
      </c>
      <c r="B656" t="s">
        <v>157</v>
      </c>
      <c r="C656" t="s">
        <v>4</v>
      </c>
      <c r="D656" s="2">
        <v>2500</v>
      </c>
      <c r="E656" s="3">
        <v>26212500</v>
      </c>
    </row>
    <row r="657" spans="1:5" x14ac:dyDescent="0.3">
      <c r="A657" s="1">
        <v>44069</v>
      </c>
      <c r="B657" t="s">
        <v>117</v>
      </c>
      <c r="C657" t="s">
        <v>4</v>
      </c>
      <c r="D657" s="2">
        <v>4000</v>
      </c>
      <c r="E657" s="3">
        <v>41940000</v>
      </c>
    </row>
    <row r="658" spans="1:5" x14ac:dyDescent="0.3">
      <c r="A658" s="1">
        <v>44070</v>
      </c>
      <c r="B658" t="s">
        <v>94</v>
      </c>
      <c r="C658" t="s">
        <v>4</v>
      </c>
      <c r="D658" s="2">
        <v>2570</v>
      </c>
      <c r="E658" s="3">
        <v>26946450</v>
      </c>
    </row>
    <row r="659" spans="1:5" x14ac:dyDescent="0.3">
      <c r="A659" s="1">
        <v>44070</v>
      </c>
      <c r="B659" t="s">
        <v>92</v>
      </c>
      <c r="C659" t="s">
        <v>4</v>
      </c>
      <c r="D659" s="2">
        <v>1000</v>
      </c>
      <c r="E659" s="3">
        <v>10355000</v>
      </c>
    </row>
    <row r="660" spans="1:5" x14ac:dyDescent="0.3">
      <c r="A660" s="1">
        <v>44070</v>
      </c>
      <c r="B660" t="s">
        <v>92</v>
      </c>
      <c r="C660" t="s">
        <v>4</v>
      </c>
      <c r="D660" s="2">
        <v>150</v>
      </c>
      <c r="E660" s="3">
        <v>1474050</v>
      </c>
    </row>
    <row r="661" spans="1:5" x14ac:dyDescent="0.3">
      <c r="A661" s="1">
        <v>44070</v>
      </c>
      <c r="B661" t="s">
        <v>92</v>
      </c>
      <c r="C661" t="s">
        <v>3</v>
      </c>
      <c r="D661" s="2">
        <v>50</v>
      </c>
      <c r="E661" s="3">
        <v>590000</v>
      </c>
    </row>
    <row r="662" spans="1:5" x14ac:dyDescent="0.3">
      <c r="A662" s="1">
        <v>44071</v>
      </c>
      <c r="B662" t="s">
        <v>113</v>
      </c>
      <c r="C662" t="s">
        <v>4</v>
      </c>
      <c r="D662" s="2">
        <v>1000</v>
      </c>
      <c r="E662" s="3">
        <v>10485000</v>
      </c>
    </row>
    <row r="663" spans="1:5" x14ac:dyDescent="0.3">
      <c r="A663" s="1">
        <v>44071</v>
      </c>
      <c r="B663" t="s">
        <v>36</v>
      </c>
      <c r="C663" t="s">
        <v>4</v>
      </c>
      <c r="D663" s="2">
        <v>160</v>
      </c>
      <c r="E663" s="3">
        <v>1688000</v>
      </c>
    </row>
    <row r="664" spans="1:5" x14ac:dyDescent="0.3">
      <c r="A664" s="1">
        <v>44071</v>
      </c>
      <c r="B664" t="s">
        <v>36</v>
      </c>
      <c r="C664" t="s">
        <v>4</v>
      </c>
      <c r="D664" s="2">
        <v>1150</v>
      </c>
      <c r="E664" s="3">
        <v>11301050</v>
      </c>
    </row>
    <row r="665" spans="1:5" x14ac:dyDescent="0.3">
      <c r="A665" s="1">
        <v>44071</v>
      </c>
      <c r="B665" t="s">
        <v>36</v>
      </c>
      <c r="C665" t="s">
        <v>3</v>
      </c>
      <c r="D665" s="2">
        <v>50</v>
      </c>
      <c r="E665" s="3">
        <v>590000</v>
      </c>
    </row>
    <row r="666" spans="1:5" x14ac:dyDescent="0.3">
      <c r="A666" s="1">
        <v>44074</v>
      </c>
      <c r="B666" t="s">
        <v>117</v>
      </c>
      <c r="C666" t="s">
        <v>4</v>
      </c>
      <c r="D666" s="2">
        <v>1500</v>
      </c>
      <c r="E666" s="3">
        <v>15727500</v>
      </c>
    </row>
    <row r="667" spans="1:5" x14ac:dyDescent="0.3">
      <c r="A667" s="1">
        <v>44074</v>
      </c>
      <c r="B667" t="s">
        <v>27</v>
      </c>
      <c r="C667" t="s">
        <v>4</v>
      </c>
      <c r="D667" s="2">
        <v>100</v>
      </c>
      <c r="E667" s="3">
        <v>1019000</v>
      </c>
    </row>
    <row r="668" spans="1:5" x14ac:dyDescent="0.3">
      <c r="A668" s="1">
        <v>44074</v>
      </c>
      <c r="B668" t="s">
        <v>70</v>
      </c>
      <c r="C668" t="s">
        <v>4</v>
      </c>
      <c r="D668" s="2">
        <v>310</v>
      </c>
      <c r="E668" s="3">
        <v>3270500</v>
      </c>
    </row>
    <row r="669" spans="1:5" x14ac:dyDescent="0.3">
      <c r="A669" s="1">
        <v>44074</v>
      </c>
      <c r="B669" t="s">
        <v>70</v>
      </c>
      <c r="C669" t="s">
        <v>3</v>
      </c>
      <c r="D669" s="2">
        <v>150</v>
      </c>
      <c r="E669" s="3">
        <v>1770000</v>
      </c>
    </row>
    <row r="670" spans="1:5" x14ac:dyDescent="0.3">
      <c r="A670" s="1">
        <v>44081</v>
      </c>
      <c r="B670" t="s">
        <v>12</v>
      </c>
      <c r="C670" t="s">
        <v>3</v>
      </c>
      <c r="D670" s="2">
        <v>300</v>
      </c>
      <c r="E670" s="3">
        <v>3540000</v>
      </c>
    </row>
    <row r="671" spans="1:5" x14ac:dyDescent="0.3">
      <c r="A671" s="1">
        <v>44083</v>
      </c>
      <c r="B671" t="s">
        <v>42</v>
      </c>
      <c r="C671" t="s">
        <v>4</v>
      </c>
      <c r="D671" s="2">
        <v>600</v>
      </c>
      <c r="E671" s="3">
        <v>6330000</v>
      </c>
    </row>
    <row r="672" spans="1:5" x14ac:dyDescent="0.3">
      <c r="A672" s="1">
        <v>44083</v>
      </c>
      <c r="B672" t="s">
        <v>105</v>
      </c>
      <c r="C672" t="s">
        <v>4</v>
      </c>
      <c r="D672" s="2">
        <v>900</v>
      </c>
      <c r="E672" s="3">
        <v>9122400</v>
      </c>
    </row>
    <row r="673" spans="1:5" x14ac:dyDescent="0.3">
      <c r="A673" s="1">
        <v>44083</v>
      </c>
      <c r="B673" t="s">
        <v>108</v>
      </c>
      <c r="C673" t="s">
        <v>4</v>
      </c>
      <c r="D673" s="2">
        <v>2000</v>
      </c>
      <c r="E673" s="3">
        <v>21590000</v>
      </c>
    </row>
    <row r="674" spans="1:5" x14ac:dyDescent="0.3">
      <c r="A674" s="1">
        <v>44083</v>
      </c>
      <c r="B674" t="s">
        <v>85</v>
      </c>
      <c r="C674" t="s">
        <v>4</v>
      </c>
      <c r="D674" s="2">
        <v>2000</v>
      </c>
      <c r="E674" s="3">
        <v>21590000</v>
      </c>
    </row>
    <row r="675" spans="1:5" x14ac:dyDescent="0.3">
      <c r="A675" s="1">
        <v>44083</v>
      </c>
      <c r="B675" t="s">
        <v>157</v>
      </c>
      <c r="C675" t="s">
        <v>4</v>
      </c>
      <c r="D675" s="2">
        <v>2000</v>
      </c>
      <c r="E675" s="3">
        <v>21590000</v>
      </c>
    </row>
    <row r="676" spans="1:5" x14ac:dyDescent="0.3">
      <c r="A676" s="1">
        <v>44083</v>
      </c>
      <c r="B676" t="s">
        <v>84</v>
      </c>
      <c r="C676" t="s">
        <v>4</v>
      </c>
      <c r="D676" s="2">
        <v>1000</v>
      </c>
      <c r="E676" s="3">
        <v>10795000</v>
      </c>
    </row>
    <row r="677" spans="1:5" x14ac:dyDescent="0.3">
      <c r="A677" s="1">
        <v>44084</v>
      </c>
      <c r="B677" t="s">
        <v>92</v>
      </c>
      <c r="C677" t="s">
        <v>4</v>
      </c>
      <c r="D677" s="2">
        <v>750</v>
      </c>
      <c r="E677" s="3">
        <v>8088750</v>
      </c>
    </row>
    <row r="678" spans="1:5" x14ac:dyDescent="0.3">
      <c r="A678" s="1">
        <v>44084</v>
      </c>
      <c r="B678" t="s">
        <v>92</v>
      </c>
      <c r="C678" t="s">
        <v>4</v>
      </c>
      <c r="D678" s="2">
        <v>150</v>
      </c>
      <c r="E678" s="3">
        <v>1582500</v>
      </c>
    </row>
    <row r="679" spans="1:5" x14ac:dyDescent="0.3">
      <c r="A679" s="1">
        <v>44088</v>
      </c>
      <c r="B679" t="s">
        <v>50</v>
      </c>
      <c r="C679" t="s">
        <v>4</v>
      </c>
      <c r="D679" s="2">
        <v>250</v>
      </c>
      <c r="E679" s="3">
        <v>2637500</v>
      </c>
    </row>
    <row r="680" spans="1:5" x14ac:dyDescent="0.3">
      <c r="A680" s="1">
        <v>44088</v>
      </c>
      <c r="B680" t="s">
        <v>50</v>
      </c>
      <c r="C680" t="s">
        <v>4</v>
      </c>
      <c r="D680" s="2">
        <v>100</v>
      </c>
      <c r="E680" s="3">
        <v>1013600</v>
      </c>
    </row>
    <row r="681" spans="1:5" x14ac:dyDescent="0.3">
      <c r="A681" s="1">
        <v>44088</v>
      </c>
      <c r="B681" t="s">
        <v>135</v>
      </c>
      <c r="C681" t="s">
        <v>4</v>
      </c>
      <c r="D681" s="2">
        <v>210</v>
      </c>
      <c r="E681" s="3">
        <v>2266950</v>
      </c>
    </row>
    <row r="682" spans="1:5" x14ac:dyDescent="0.3">
      <c r="A682" s="1">
        <v>44088</v>
      </c>
      <c r="B682" t="s">
        <v>130</v>
      </c>
      <c r="C682" t="s">
        <v>4</v>
      </c>
      <c r="D682" s="2">
        <v>1500</v>
      </c>
      <c r="E682" s="3">
        <v>16192500</v>
      </c>
    </row>
    <row r="683" spans="1:5" x14ac:dyDescent="0.3">
      <c r="A683" s="1">
        <v>44088</v>
      </c>
      <c r="B683" t="s">
        <v>121</v>
      </c>
      <c r="C683" t="s">
        <v>4</v>
      </c>
      <c r="D683" s="2">
        <v>3000</v>
      </c>
      <c r="E683" s="3">
        <v>32385000</v>
      </c>
    </row>
    <row r="684" spans="1:5" x14ac:dyDescent="0.3">
      <c r="A684" s="1">
        <v>44088</v>
      </c>
      <c r="B684" t="s">
        <v>141</v>
      </c>
      <c r="C684" t="s">
        <v>4</v>
      </c>
      <c r="D684" s="2">
        <v>400</v>
      </c>
      <c r="E684" s="3">
        <v>4318000</v>
      </c>
    </row>
    <row r="685" spans="1:5" x14ac:dyDescent="0.3">
      <c r="A685" s="1">
        <v>44088</v>
      </c>
      <c r="B685" t="s">
        <v>131</v>
      </c>
      <c r="C685" t="s">
        <v>4</v>
      </c>
      <c r="D685" s="2">
        <v>400</v>
      </c>
      <c r="E685" s="3">
        <v>4318000</v>
      </c>
    </row>
    <row r="686" spans="1:5" x14ac:dyDescent="0.3">
      <c r="A686" s="1">
        <v>44088</v>
      </c>
      <c r="B686" t="s">
        <v>168</v>
      </c>
      <c r="C686" t="s">
        <v>4</v>
      </c>
      <c r="D686" s="2">
        <v>4000</v>
      </c>
      <c r="E686" s="3">
        <v>43180000</v>
      </c>
    </row>
    <row r="687" spans="1:5" x14ac:dyDescent="0.3">
      <c r="A687" s="1">
        <v>44088</v>
      </c>
      <c r="B687" t="s">
        <v>142</v>
      </c>
      <c r="C687" t="s">
        <v>4</v>
      </c>
      <c r="D687" s="2">
        <v>1500</v>
      </c>
      <c r="E687" s="3">
        <v>16192500</v>
      </c>
    </row>
    <row r="688" spans="1:5" x14ac:dyDescent="0.3">
      <c r="A688" s="1">
        <v>44088</v>
      </c>
      <c r="B688" t="s">
        <v>163</v>
      </c>
      <c r="C688" t="s">
        <v>4</v>
      </c>
      <c r="D688" s="2">
        <v>2000</v>
      </c>
      <c r="E688" s="3">
        <v>21590000</v>
      </c>
    </row>
    <row r="689" spans="1:5" x14ac:dyDescent="0.3">
      <c r="A689" s="1">
        <v>44088</v>
      </c>
      <c r="B689" t="s">
        <v>173</v>
      </c>
      <c r="C689" t="s">
        <v>4</v>
      </c>
      <c r="D689" s="2">
        <v>6000</v>
      </c>
      <c r="E689" s="3">
        <v>64770000</v>
      </c>
    </row>
    <row r="690" spans="1:5" x14ac:dyDescent="0.3">
      <c r="A690" s="1">
        <v>44088</v>
      </c>
      <c r="B690" t="s">
        <v>117</v>
      </c>
      <c r="C690" t="s">
        <v>4</v>
      </c>
      <c r="D690" s="2">
        <v>5500</v>
      </c>
      <c r="E690" s="3">
        <v>59372500</v>
      </c>
    </row>
    <row r="691" spans="1:5" x14ac:dyDescent="0.3">
      <c r="A691" s="1">
        <v>44088</v>
      </c>
      <c r="B691" t="s">
        <v>107</v>
      </c>
      <c r="C691" t="s">
        <v>4</v>
      </c>
      <c r="D691" s="2">
        <v>1800</v>
      </c>
      <c r="E691" s="3">
        <v>19431000</v>
      </c>
    </row>
    <row r="692" spans="1:5" x14ac:dyDescent="0.3">
      <c r="A692" s="1">
        <v>44088</v>
      </c>
      <c r="B692" t="s">
        <v>89</v>
      </c>
      <c r="C692" t="s">
        <v>4</v>
      </c>
      <c r="D692" s="2">
        <v>1500</v>
      </c>
      <c r="E692" s="3">
        <v>16192500</v>
      </c>
    </row>
    <row r="693" spans="1:5" x14ac:dyDescent="0.3">
      <c r="A693" s="1">
        <v>44088</v>
      </c>
      <c r="B693" t="s">
        <v>174</v>
      </c>
      <c r="C693" t="s">
        <v>4</v>
      </c>
      <c r="D693" s="2">
        <v>300</v>
      </c>
      <c r="E693" s="3">
        <v>3238500</v>
      </c>
    </row>
    <row r="694" spans="1:5" x14ac:dyDescent="0.3">
      <c r="A694" s="1">
        <v>44088</v>
      </c>
      <c r="B694" t="s">
        <v>140</v>
      </c>
      <c r="C694" t="s">
        <v>4</v>
      </c>
      <c r="D694" s="2">
        <v>2500</v>
      </c>
      <c r="E694" s="3">
        <v>26987500</v>
      </c>
    </row>
    <row r="695" spans="1:5" x14ac:dyDescent="0.3">
      <c r="A695" s="1">
        <v>44089</v>
      </c>
      <c r="B695" t="s">
        <v>122</v>
      </c>
      <c r="C695" t="s">
        <v>4</v>
      </c>
      <c r="D695" s="2">
        <v>1800</v>
      </c>
      <c r="E695" s="3">
        <v>19431000</v>
      </c>
    </row>
    <row r="696" spans="1:5" x14ac:dyDescent="0.3">
      <c r="A696" s="1">
        <v>44089</v>
      </c>
      <c r="B696" t="s">
        <v>151</v>
      </c>
      <c r="C696" t="s">
        <v>4</v>
      </c>
      <c r="D696" s="2">
        <v>250</v>
      </c>
      <c r="E696" s="3">
        <v>2698750</v>
      </c>
    </row>
    <row r="697" spans="1:5" x14ac:dyDescent="0.3">
      <c r="A697" s="1">
        <v>44089</v>
      </c>
      <c r="B697" t="s">
        <v>127</v>
      </c>
      <c r="C697" t="s">
        <v>4</v>
      </c>
      <c r="D697" s="2">
        <v>1300</v>
      </c>
      <c r="E697" s="3">
        <v>14033500</v>
      </c>
    </row>
    <row r="698" spans="1:5" x14ac:dyDescent="0.3">
      <c r="A698" s="1">
        <v>44089</v>
      </c>
      <c r="B698" t="s">
        <v>85</v>
      </c>
      <c r="C698" t="s">
        <v>4</v>
      </c>
      <c r="D698" s="2">
        <v>2000</v>
      </c>
      <c r="E698" s="3">
        <v>21590000</v>
      </c>
    </row>
    <row r="699" spans="1:5" x14ac:dyDescent="0.3">
      <c r="A699" s="1">
        <v>44090</v>
      </c>
      <c r="B699" t="s">
        <v>156</v>
      </c>
      <c r="C699" t="s">
        <v>4</v>
      </c>
      <c r="D699" s="2">
        <v>1500</v>
      </c>
      <c r="E699" s="3">
        <v>16192500</v>
      </c>
    </row>
    <row r="700" spans="1:5" x14ac:dyDescent="0.3">
      <c r="A700" s="1">
        <v>44090</v>
      </c>
      <c r="B700" t="s">
        <v>165</v>
      </c>
      <c r="C700" t="s">
        <v>4</v>
      </c>
      <c r="D700" s="2">
        <v>500</v>
      </c>
      <c r="E700" s="3">
        <v>5397500</v>
      </c>
    </row>
    <row r="701" spans="1:5" x14ac:dyDescent="0.3">
      <c r="A701" s="1">
        <v>44090</v>
      </c>
      <c r="B701" t="s">
        <v>103</v>
      </c>
      <c r="C701" t="s">
        <v>4</v>
      </c>
      <c r="D701" s="2">
        <v>12000</v>
      </c>
      <c r="E701" s="3">
        <v>129540000</v>
      </c>
    </row>
    <row r="702" spans="1:5" x14ac:dyDescent="0.3">
      <c r="A702" s="1">
        <v>44090</v>
      </c>
      <c r="B702" t="s">
        <v>175</v>
      </c>
      <c r="C702" t="s">
        <v>4</v>
      </c>
      <c r="D702" s="2">
        <v>2500</v>
      </c>
      <c r="E702" s="3">
        <v>26987500</v>
      </c>
    </row>
    <row r="703" spans="1:5" x14ac:dyDescent="0.3">
      <c r="A703" s="1">
        <v>44090</v>
      </c>
      <c r="B703" t="s">
        <v>96</v>
      </c>
      <c r="C703" t="s">
        <v>4</v>
      </c>
      <c r="D703" s="2">
        <v>2000</v>
      </c>
      <c r="E703" s="3">
        <v>21590000</v>
      </c>
    </row>
    <row r="704" spans="1:5" x14ac:dyDescent="0.3">
      <c r="A704" s="1">
        <v>44091</v>
      </c>
      <c r="B704" t="s">
        <v>134</v>
      </c>
      <c r="C704" t="s">
        <v>4</v>
      </c>
      <c r="D704" s="2">
        <v>950</v>
      </c>
      <c r="E704" s="3">
        <v>9951250</v>
      </c>
    </row>
    <row r="705" spans="1:5" x14ac:dyDescent="0.3">
      <c r="A705" s="1">
        <v>44091</v>
      </c>
      <c r="B705" t="s">
        <v>134</v>
      </c>
      <c r="C705" t="s">
        <v>4</v>
      </c>
      <c r="D705" s="2">
        <v>150</v>
      </c>
      <c r="E705" s="3">
        <v>1474050</v>
      </c>
    </row>
    <row r="706" spans="1:5" x14ac:dyDescent="0.3">
      <c r="A706" s="1">
        <v>44091</v>
      </c>
      <c r="B706" t="s">
        <v>50</v>
      </c>
      <c r="C706" t="s">
        <v>4</v>
      </c>
      <c r="D706" s="2">
        <v>2500</v>
      </c>
      <c r="E706" s="3">
        <v>26375000</v>
      </c>
    </row>
    <row r="707" spans="1:5" x14ac:dyDescent="0.3">
      <c r="A707" s="1">
        <v>44095</v>
      </c>
      <c r="B707" t="s">
        <v>27</v>
      </c>
      <c r="C707" t="s">
        <v>4</v>
      </c>
      <c r="D707" s="2">
        <v>850</v>
      </c>
      <c r="E707" s="3">
        <v>8352950</v>
      </c>
    </row>
    <row r="708" spans="1:5" x14ac:dyDescent="0.3">
      <c r="A708" s="1">
        <v>44096</v>
      </c>
      <c r="B708" t="s">
        <v>107</v>
      </c>
      <c r="C708" t="s">
        <v>4</v>
      </c>
      <c r="D708" s="2">
        <v>1800</v>
      </c>
      <c r="E708" s="3">
        <v>18873000</v>
      </c>
    </row>
    <row r="709" spans="1:5" x14ac:dyDescent="0.3">
      <c r="A709" s="1">
        <v>44096</v>
      </c>
      <c r="B709" t="s">
        <v>86</v>
      </c>
      <c r="C709" t="s">
        <v>4</v>
      </c>
      <c r="D709" s="2">
        <v>1600</v>
      </c>
      <c r="E709" s="3">
        <v>16776000</v>
      </c>
    </row>
    <row r="710" spans="1:5" x14ac:dyDescent="0.3">
      <c r="A710" s="1">
        <v>44096</v>
      </c>
      <c r="B710" t="s">
        <v>102</v>
      </c>
      <c r="C710" t="s">
        <v>4</v>
      </c>
      <c r="D710" s="2">
        <v>1500</v>
      </c>
      <c r="E710" s="3">
        <v>15727500</v>
      </c>
    </row>
    <row r="711" spans="1:5" x14ac:dyDescent="0.3">
      <c r="A711" s="1">
        <v>44096</v>
      </c>
      <c r="B711" t="s">
        <v>124</v>
      </c>
      <c r="C711" t="s">
        <v>4</v>
      </c>
      <c r="D711" s="2">
        <v>1200</v>
      </c>
      <c r="E711" s="3">
        <v>12582000</v>
      </c>
    </row>
    <row r="712" spans="1:5" x14ac:dyDescent="0.3">
      <c r="A712" s="1">
        <v>44096</v>
      </c>
      <c r="B712" t="s">
        <v>125</v>
      </c>
      <c r="C712" t="s">
        <v>4</v>
      </c>
      <c r="D712" s="2">
        <v>240</v>
      </c>
      <c r="E712" s="3">
        <v>2516400</v>
      </c>
    </row>
    <row r="713" spans="1:5" x14ac:dyDescent="0.3">
      <c r="A713" s="1">
        <v>44096</v>
      </c>
      <c r="B713" t="s">
        <v>48</v>
      </c>
      <c r="C713" t="s">
        <v>4</v>
      </c>
      <c r="D713" s="2">
        <v>190</v>
      </c>
      <c r="E713" s="3">
        <v>2280000</v>
      </c>
    </row>
    <row r="714" spans="1:5" x14ac:dyDescent="0.3">
      <c r="A714" s="1">
        <v>44096</v>
      </c>
      <c r="B714" t="s">
        <v>48</v>
      </c>
      <c r="C714" t="s">
        <v>4</v>
      </c>
      <c r="D714" s="2">
        <v>76</v>
      </c>
      <c r="E714" s="3">
        <v>1748000</v>
      </c>
    </row>
    <row r="715" spans="1:5" x14ac:dyDescent="0.3">
      <c r="A715" s="1">
        <v>44097</v>
      </c>
      <c r="B715" t="s">
        <v>144</v>
      </c>
      <c r="C715" t="s">
        <v>4</v>
      </c>
      <c r="D715" s="2">
        <v>800</v>
      </c>
      <c r="E715" s="3">
        <v>8636000</v>
      </c>
    </row>
    <row r="716" spans="1:5" x14ac:dyDescent="0.3">
      <c r="A716" s="1">
        <v>44097</v>
      </c>
      <c r="B716" t="s">
        <v>149</v>
      </c>
      <c r="C716" t="s">
        <v>4</v>
      </c>
      <c r="D716" s="2">
        <v>250</v>
      </c>
      <c r="E716" s="3">
        <v>2698750</v>
      </c>
    </row>
    <row r="717" spans="1:5" x14ac:dyDescent="0.3">
      <c r="A717" s="1">
        <v>44097</v>
      </c>
      <c r="B717" t="s">
        <v>91</v>
      </c>
      <c r="C717" t="s">
        <v>4</v>
      </c>
      <c r="D717" s="2">
        <v>3000</v>
      </c>
      <c r="E717" s="3">
        <v>32535000</v>
      </c>
    </row>
    <row r="718" spans="1:5" x14ac:dyDescent="0.3">
      <c r="A718" s="1">
        <v>44097</v>
      </c>
      <c r="B718" t="s">
        <v>164</v>
      </c>
      <c r="C718" t="s">
        <v>4</v>
      </c>
      <c r="D718" s="2">
        <v>1000</v>
      </c>
      <c r="E718" s="3">
        <v>10845000</v>
      </c>
    </row>
    <row r="719" spans="1:5" x14ac:dyDescent="0.3">
      <c r="A719" s="1">
        <v>44097</v>
      </c>
      <c r="B719" t="s">
        <v>95</v>
      </c>
      <c r="C719" t="s">
        <v>4</v>
      </c>
      <c r="D719" s="2">
        <v>1000</v>
      </c>
      <c r="E719" s="3">
        <v>10845000</v>
      </c>
    </row>
    <row r="720" spans="1:5" x14ac:dyDescent="0.3">
      <c r="A720" s="1">
        <v>44097</v>
      </c>
      <c r="B720" t="s">
        <v>176</v>
      </c>
      <c r="C720" t="s">
        <v>4</v>
      </c>
      <c r="D720" s="2">
        <v>500</v>
      </c>
      <c r="E720" s="3">
        <v>5422500</v>
      </c>
    </row>
    <row r="721" spans="1:5" x14ac:dyDescent="0.3">
      <c r="A721" s="1">
        <v>44097</v>
      </c>
      <c r="B721" t="s">
        <v>133</v>
      </c>
      <c r="C721" t="s">
        <v>4</v>
      </c>
      <c r="D721" s="2">
        <v>2000</v>
      </c>
      <c r="E721" s="3">
        <v>21690000</v>
      </c>
    </row>
    <row r="722" spans="1:5" x14ac:dyDescent="0.3">
      <c r="A722" s="1">
        <v>44097</v>
      </c>
      <c r="B722" t="s">
        <v>170</v>
      </c>
      <c r="C722" t="s">
        <v>4</v>
      </c>
      <c r="D722" s="2">
        <v>170</v>
      </c>
      <c r="E722" s="3">
        <v>1843650</v>
      </c>
    </row>
    <row r="723" spans="1:5" x14ac:dyDescent="0.3">
      <c r="A723" s="1">
        <v>44102</v>
      </c>
      <c r="B723" t="s">
        <v>113</v>
      </c>
      <c r="C723" t="s">
        <v>4</v>
      </c>
      <c r="D723" s="2">
        <v>1500</v>
      </c>
      <c r="E723" s="3">
        <v>15727500</v>
      </c>
    </row>
    <row r="724" spans="1:5" x14ac:dyDescent="0.3">
      <c r="A724" s="1">
        <v>44102</v>
      </c>
      <c r="B724" t="s">
        <v>163</v>
      </c>
      <c r="C724" t="s">
        <v>4</v>
      </c>
      <c r="D724" s="2">
        <v>2000</v>
      </c>
      <c r="E724" s="3">
        <v>20970000</v>
      </c>
    </row>
    <row r="725" spans="1:5" x14ac:dyDescent="0.3">
      <c r="A725" s="1">
        <v>44102</v>
      </c>
      <c r="B725" t="s">
        <v>177</v>
      </c>
      <c r="C725" t="s">
        <v>4</v>
      </c>
      <c r="D725" s="2">
        <v>3500</v>
      </c>
      <c r="E725" s="3">
        <v>36697500</v>
      </c>
    </row>
    <row r="726" spans="1:5" x14ac:dyDescent="0.3">
      <c r="A726" s="1">
        <v>44102</v>
      </c>
      <c r="B726" t="s">
        <v>125</v>
      </c>
      <c r="C726" t="s">
        <v>4</v>
      </c>
      <c r="D726" s="2">
        <v>160</v>
      </c>
      <c r="E726" s="3">
        <v>1677600</v>
      </c>
    </row>
    <row r="727" spans="1:5" x14ac:dyDescent="0.3">
      <c r="A727" s="1">
        <v>44102</v>
      </c>
      <c r="B727" t="s">
        <v>172</v>
      </c>
      <c r="C727" t="s">
        <v>4</v>
      </c>
      <c r="D727" s="2">
        <v>500</v>
      </c>
      <c r="E727" s="3">
        <v>5242500</v>
      </c>
    </row>
    <row r="728" spans="1:5" x14ac:dyDescent="0.3">
      <c r="A728" s="1">
        <v>44102</v>
      </c>
      <c r="B728" t="s">
        <v>178</v>
      </c>
      <c r="C728" t="s">
        <v>4</v>
      </c>
      <c r="D728" s="2">
        <v>500</v>
      </c>
      <c r="E728" s="3">
        <v>5242500</v>
      </c>
    </row>
    <row r="729" spans="1:5" x14ac:dyDescent="0.3">
      <c r="A729" s="1">
        <v>44102</v>
      </c>
      <c r="B729" t="s">
        <v>121</v>
      </c>
      <c r="C729" t="s">
        <v>4</v>
      </c>
      <c r="D729" s="2">
        <v>2000</v>
      </c>
      <c r="E729" s="3">
        <v>20970000</v>
      </c>
    </row>
    <row r="730" spans="1:5" x14ac:dyDescent="0.3">
      <c r="A730" s="1">
        <v>44102</v>
      </c>
      <c r="B730" t="s">
        <v>132</v>
      </c>
      <c r="C730" t="s">
        <v>4</v>
      </c>
      <c r="D730" s="2">
        <v>500</v>
      </c>
      <c r="E730" s="3">
        <v>5242500</v>
      </c>
    </row>
    <row r="731" spans="1:5" x14ac:dyDescent="0.3">
      <c r="A731" s="1">
        <v>44102</v>
      </c>
      <c r="B731" t="s">
        <v>149</v>
      </c>
      <c r="C731" t="s">
        <v>4</v>
      </c>
      <c r="D731" s="2">
        <v>230</v>
      </c>
      <c r="E731" s="3">
        <v>2411550</v>
      </c>
    </row>
    <row r="732" spans="1:5" x14ac:dyDescent="0.3">
      <c r="A732" s="1">
        <v>44102</v>
      </c>
      <c r="B732" t="s">
        <v>170</v>
      </c>
      <c r="C732" t="s">
        <v>4</v>
      </c>
      <c r="D732" s="2">
        <v>810</v>
      </c>
      <c r="E732" s="3">
        <v>8492850</v>
      </c>
    </row>
    <row r="733" spans="1:5" x14ac:dyDescent="0.3">
      <c r="A733" s="1">
        <v>44103</v>
      </c>
      <c r="B733" t="s">
        <v>40</v>
      </c>
      <c r="C733" t="s">
        <v>4</v>
      </c>
      <c r="D733" s="2">
        <v>1100</v>
      </c>
      <c r="E733" s="3">
        <v>11149600</v>
      </c>
    </row>
    <row r="734" spans="1:5" x14ac:dyDescent="0.3">
      <c r="A734" s="1">
        <v>44103</v>
      </c>
      <c r="B734" t="s">
        <v>40</v>
      </c>
      <c r="C734" t="s">
        <v>5</v>
      </c>
      <c r="D734" s="2">
        <v>100</v>
      </c>
      <c r="E734" s="3">
        <v>8816000</v>
      </c>
    </row>
    <row r="735" spans="1:5" x14ac:dyDescent="0.3">
      <c r="A735" s="1">
        <v>44103</v>
      </c>
      <c r="B735" t="s">
        <v>31</v>
      </c>
      <c r="C735" t="s">
        <v>4</v>
      </c>
      <c r="D735" s="2">
        <v>630</v>
      </c>
      <c r="E735" s="3">
        <v>6646500</v>
      </c>
    </row>
    <row r="736" spans="1:5" x14ac:dyDescent="0.3">
      <c r="A736" s="1">
        <v>44103</v>
      </c>
      <c r="B736" t="s">
        <v>31</v>
      </c>
      <c r="C736" t="s">
        <v>4</v>
      </c>
      <c r="D736" s="2">
        <v>500</v>
      </c>
      <c r="E736" s="3">
        <v>5064000</v>
      </c>
    </row>
    <row r="737" spans="1:5" x14ac:dyDescent="0.3">
      <c r="A737" s="1">
        <v>44109</v>
      </c>
      <c r="B737" t="s">
        <v>74</v>
      </c>
      <c r="C737" t="s">
        <v>4</v>
      </c>
      <c r="D737" s="2">
        <v>220</v>
      </c>
      <c r="E737" s="3">
        <v>2321000</v>
      </c>
    </row>
    <row r="738" spans="1:5" x14ac:dyDescent="0.3">
      <c r="A738" s="1">
        <v>44109</v>
      </c>
      <c r="B738" t="s">
        <v>74</v>
      </c>
      <c r="C738" t="s">
        <v>4</v>
      </c>
      <c r="D738" s="2">
        <v>50</v>
      </c>
      <c r="E738" s="3">
        <v>506400</v>
      </c>
    </row>
    <row r="739" spans="1:5" x14ac:dyDescent="0.3">
      <c r="A739" s="1">
        <v>44109</v>
      </c>
      <c r="B739" t="s">
        <v>74</v>
      </c>
      <c r="C739" t="s">
        <v>5</v>
      </c>
      <c r="D739" s="2">
        <v>40</v>
      </c>
      <c r="E739" s="3">
        <v>3526400</v>
      </c>
    </row>
    <row r="740" spans="1:5" x14ac:dyDescent="0.3">
      <c r="A740" s="1">
        <v>44109</v>
      </c>
      <c r="B740" t="s">
        <v>89</v>
      </c>
      <c r="C740" t="s">
        <v>4</v>
      </c>
      <c r="D740" s="2">
        <v>1500</v>
      </c>
      <c r="E740" s="3">
        <v>15727500</v>
      </c>
    </row>
    <row r="741" spans="1:5" x14ac:dyDescent="0.3">
      <c r="A741" s="1">
        <v>44109</v>
      </c>
      <c r="B741" t="s">
        <v>157</v>
      </c>
      <c r="C741" t="s">
        <v>4</v>
      </c>
      <c r="D741" s="2">
        <v>2300</v>
      </c>
      <c r="E741" s="3">
        <v>24115500</v>
      </c>
    </row>
    <row r="742" spans="1:5" x14ac:dyDescent="0.3">
      <c r="A742" s="1">
        <v>44109</v>
      </c>
      <c r="B742" t="s">
        <v>117</v>
      </c>
      <c r="C742" t="s">
        <v>4</v>
      </c>
      <c r="D742" s="2">
        <v>1500</v>
      </c>
      <c r="E742" s="3">
        <v>15727500</v>
      </c>
    </row>
    <row r="743" spans="1:5" x14ac:dyDescent="0.3">
      <c r="A743" s="1">
        <v>44109</v>
      </c>
      <c r="B743" t="s">
        <v>122</v>
      </c>
      <c r="C743" t="s">
        <v>4</v>
      </c>
      <c r="D743" s="2">
        <v>1800</v>
      </c>
      <c r="E743" s="3">
        <v>18873000</v>
      </c>
    </row>
    <row r="744" spans="1:5" x14ac:dyDescent="0.3">
      <c r="A744" s="1">
        <v>44109</v>
      </c>
      <c r="B744" t="s">
        <v>156</v>
      </c>
      <c r="C744" t="s">
        <v>4</v>
      </c>
      <c r="D744" s="2">
        <v>1000</v>
      </c>
      <c r="E744" s="3">
        <v>10485000</v>
      </c>
    </row>
    <row r="745" spans="1:5" x14ac:dyDescent="0.3">
      <c r="A745" s="1">
        <v>44109</v>
      </c>
      <c r="B745" t="s">
        <v>142</v>
      </c>
      <c r="C745" t="s">
        <v>4</v>
      </c>
      <c r="D745" s="2">
        <v>800</v>
      </c>
      <c r="E745" s="3">
        <v>8388000</v>
      </c>
    </row>
    <row r="746" spans="1:5" x14ac:dyDescent="0.3">
      <c r="A746" s="1">
        <v>44109</v>
      </c>
      <c r="B746" t="s">
        <v>91</v>
      </c>
      <c r="C746" t="s">
        <v>4</v>
      </c>
      <c r="D746" s="2">
        <v>300</v>
      </c>
      <c r="E746" s="3">
        <v>3145500</v>
      </c>
    </row>
    <row r="747" spans="1:5" x14ac:dyDescent="0.3">
      <c r="A747" s="1">
        <v>44109</v>
      </c>
      <c r="B747" t="s">
        <v>167</v>
      </c>
      <c r="C747" t="s">
        <v>4</v>
      </c>
      <c r="D747" s="2">
        <v>1000</v>
      </c>
      <c r="E747" s="3">
        <v>10485000</v>
      </c>
    </row>
    <row r="748" spans="1:5" x14ac:dyDescent="0.3">
      <c r="A748" s="1">
        <v>44111</v>
      </c>
      <c r="B748" t="s">
        <v>18</v>
      </c>
      <c r="C748" t="s">
        <v>4</v>
      </c>
      <c r="D748" s="2">
        <v>270</v>
      </c>
      <c r="E748" s="3">
        <v>2848500</v>
      </c>
    </row>
    <row r="749" spans="1:5" x14ac:dyDescent="0.3">
      <c r="A749" s="1">
        <v>44111</v>
      </c>
      <c r="B749" t="s">
        <v>103</v>
      </c>
      <c r="C749" t="s">
        <v>4</v>
      </c>
      <c r="D749" s="2">
        <v>5900</v>
      </c>
      <c r="E749" s="3">
        <v>61861500</v>
      </c>
    </row>
    <row r="750" spans="1:5" x14ac:dyDescent="0.3">
      <c r="A750" s="1">
        <v>44111</v>
      </c>
      <c r="B750" t="s">
        <v>136</v>
      </c>
      <c r="C750" t="s">
        <v>4</v>
      </c>
      <c r="D750" s="2">
        <v>650</v>
      </c>
      <c r="E750" s="3">
        <v>6815250</v>
      </c>
    </row>
    <row r="751" spans="1:5" x14ac:dyDescent="0.3">
      <c r="A751" s="1">
        <v>44111</v>
      </c>
      <c r="B751" t="s">
        <v>179</v>
      </c>
      <c r="C751" t="s">
        <v>4</v>
      </c>
      <c r="D751" s="2">
        <v>400</v>
      </c>
      <c r="E751" s="3">
        <v>4194000</v>
      </c>
    </row>
    <row r="752" spans="1:5" x14ac:dyDescent="0.3">
      <c r="A752" s="1">
        <v>44111</v>
      </c>
      <c r="B752" t="s">
        <v>97</v>
      </c>
      <c r="C752" t="s">
        <v>4</v>
      </c>
      <c r="D752" s="2">
        <v>1000</v>
      </c>
      <c r="E752" s="3">
        <v>10485000</v>
      </c>
    </row>
    <row r="753" spans="1:5" x14ac:dyDescent="0.3">
      <c r="A753" s="1">
        <v>44111</v>
      </c>
      <c r="B753" t="s">
        <v>159</v>
      </c>
      <c r="C753" t="s">
        <v>4</v>
      </c>
      <c r="D753" s="2">
        <v>1500</v>
      </c>
      <c r="E753" s="3">
        <v>15727500</v>
      </c>
    </row>
    <row r="754" spans="1:5" x14ac:dyDescent="0.3">
      <c r="A754" s="1">
        <v>44111</v>
      </c>
      <c r="B754" t="s">
        <v>146</v>
      </c>
      <c r="C754" t="s">
        <v>4</v>
      </c>
      <c r="D754" s="2">
        <v>500</v>
      </c>
      <c r="E754" s="3">
        <v>5242500</v>
      </c>
    </row>
    <row r="755" spans="1:5" x14ac:dyDescent="0.3">
      <c r="A755" s="1">
        <v>44116</v>
      </c>
      <c r="B755" t="s">
        <v>49</v>
      </c>
      <c r="C755" t="s">
        <v>4</v>
      </c>
      <c r="D755" s="2">
        <v>350</v>
      </c>
      <c r="E755" s="3">
        <v>3692500</v>
      </c>
    </row>
    <row r="756" spans="1:5" x14ac:dyDescent="0.3">
      <c r="A756" s="1">
        <v>44116</v>
      </c>
      <c r="B756" t="s">
        <v>49</v>
      </c>
      <c r="C756" t="s">
        <v>4</v>
      </c>
      <c r="D756" s="2">
        <v>1000</v>
      </c>
      <c r="E756" s="3">
        <v>10128000</v>
      </c>
    </row>
    <row r="757" spans="1:5" x14ac:dyDescent="0.3">
      <c r="A757" s="1">
        <v>44116</v>
      </c>
      <c r="B757" t="s">
        <v>49</v>
      </c>
      <c r="C757" t="s">
        <v>3</v>
      </c>
      <c r="D757" s="2">
        <v>50</v>
      </c>
      <c r="E757" s="3">
        <v>590000</v>
      </c>
    </row>
    <row r="758" spans="1:5" x14ac:dyDescent="0.3">
      <c r="A758" s="1">
        <v>44116</v>
      </c>
      <c r="B758" t="s">
        <v>49</v>
      </c>
      <c r="C758" t="s">
        <v>5</v>
      </c>
      <c r="D758" s="2">
        <v>25</v>
      </c>
      <c r="E758" s="3">
        <v>2204000</v>
      </c>
    </row>
    <row r="759" spans="1:5" x14ac:dyDescent="0.3">
      <c r="A759" s="1">
        <v>44116</v>
      </c>
      <c r="B759" t="s">
        <v>140</v>
      </c>
      <c r="C759" t="s">
        <v>4</v>
      </c>
      <c r="D759" s="2">
        <v>2500</v>
      </c>
      <c r="E759" s="3">
        <v>26212500</v>
      </c>
    </row>
    <row r="760" spans="1:5" x14ac:dyDescent="0.3">
      <c r="A760" s="1">
        <v>44116</v>
      </c>
      <c r="B760" t="s">
        <v>86</v>
      </c>
      <c r="C760" t="s">
        <v>4</v>
      </c>
      <c r="D760" s="2">
        <v>1100</v>
      </c>
      <c r="E760" s="3">
        <v>11533500</v>
      </c>
    </row>
    <row r="761" spans="1:5" x14ac:dyDescent="0.3">
      <c r="A761" s="1">
        <v>44116</v>
      </c>
      <c r="B761" t="s">
        <v>117</v>
      </c>
      <c r="C761" t="s">
        <v>4</v>
      </c>
      <c r="D761" s="2">
        <v>4000</v>
      </c>
      <c r="E761" s="3">
        <v>41940000</v>
      </c>
    </row>
    <row r="762" spans="1:5" x14ac:dyDescent="0.3">
      <c r="A762" s="1">
        <v>44116</v>
      </c>
      <c r="B762" t="s">
        <v>135</v>
      </c>
      <c r="C762" t="s">
        <v>4</v>
      </c>
      <c r="D762" s="2">
        <v>210</v>
      </c>
      <c r="E762" s="3">
        <v>2201850</v>
      </c>
    </row>
    <row r="763" spans="1:5" x14ac:dyDescent="0.3">
      <c r="A763" s="1">
        <v>44116</v>
      </c>
      <c r="B763" t="s">
        <v>151</v>
      </c>
      <c r="C763" t="s">
        <v>4</v>
      </c>
      <c r="D763" s="2">
        <v>300</v>
      </c>
      <c r="E763" s="3">
        <v>3145500</v>
      </c>
    </row>
    <row r="764" spans="1:5" x14ac:dyDescent="0.3">
      <c r="A764" s="1">
        <v>44116</v>
      </c>
      <c r="B764" t="s">
        <v>168</v>
      </c>
      <c r="C764" t="s">
        <v>4</v>
      </c>
      <c r="D764" s="2">
        <v>2000</v>
      </c>
      <c r="E764" s="3">
        <v>20970000</v>
      </c>
    </row>
    <row r="765" spans="1:5" x14ac:dyDescent="0.3">
      <c r="A765" s="1">
        <v>44119</v>
      </c>
      <c r="B765" t="s">
        <v>124</v>
      </c>
      <c r="C765" t="s">
        <v>4</v>
      </c>
      <c r="D765" s="2">
        <v>1300</v>
      </c>
      <c r="E765" s="3">
        <v>13630500</v>
      </c>
    </row>
    <row r="766" spans="1:5" x14ac:dyDescent="0.3">
      <c r="A766" s="1">
        <v>44119</v>
      </c>
      <c r="B766" t="s">
        <v>127</v>
      </c>
      <c r="C766" t="s">
        <v>4</v>
      </c>
      <c r="D766" s="2">
        <v>2000</v>
      </c>
      <c r="E766" s="3">
        <v>20970000</v>
      </c>
    </row>
    <row r="767" spans="1:5" x14ac:dyDescent="0.3">
      <c r="A767" s="1">
        <v>44119</v>
      </c>
      <c r="B767" t="s">
        <v>141</v>
      </c>
      <c r="C767" t="s">
        <v>4</v>
      </c>
      <c r="D767" s="2">
        <v>200</v>
      </c>
      <c r="E767" s="3">
        <v>2097000</v>
      </c>
    </row>
    <row r="768" spans="1:5" x14ac:dyDescent="0.3">
      <c r="A768" s="1">
        <v>44119</v>
      </c>
      <c r="B768" t="s">
        <v>117</v>
      </c>
      <c r="C768" t="s">
        <v>4</v>
      </c>
      <c r="D768" s="2">
        <v>2000</v>
      </c>
      <c r="E768" s="3">
        <v>20970000</v>
      </c>
    </row>
    <row r="769" spans="1:5" x14ac:dyDescent="0.3">
      <c r="A769" s="1">
        <v>44119</v>
      </c>
      <c r="B769" t="s">
        <v>85</v>
      </c>
      <c r="C769" t="s">
        <v>4</v>
      </c>
      <c r="D769" s="2">
        <v>1500</v>
      </c>
      <c r="E769" s="3">
        <v>15727500</v>
      </c>
    </row>
    <row r="770" spans="1:5" x14ac:dyDescent="0.3">
      <c r="A770" s="1">
        <v>44119</v>
      </c>
      <c r="B770" t="s">
        <v>31</v>
      </c>
      <c r="C770" t="s">
        <v>4</v>
      </c>
      <c r="D770" s="2">
        <v>280</v>
      </c>
      <c r="E770" s="3">
        <v>2954000</v>
      </c>
    </row>
    <row r="771" spans="1:5" x14ac:dyDescent="0.3">
      <c r="A771" s="1">
        <v>44119</v>
      </c>
      <c r="B771" t="s">
        <v>31</v>
      </c>
      <c r="C771" t="s">
        <v>3</v>
      </c>
      <c r="D771" s="2">
        <v>50</v>
      </c>
      <c r="E771" s="3">
        <v>590000</v>
      </c>
    </row>
    <row r="772" spans="1:5" x14ac:dyDescent="0.3">
      <c r="A772" s="1">
        <v>44119</v>
      </c>
      <c r="B772" t="s">
        <v>31</v>
      </c>
      <c r="C772" t="s">
        <v>5</v>
      </c>
      <c r="D772" s="2">
        <v>25</v>
      </c>
      <c r="E772" s="3">
        <v>2204000</v>
      </c>
    </row>
    <row r="773" spans="1:5" x14ac:dyDescent="0.3">
      <c r="A773" s="1">
        <v>44119</v>
      </c>
      <c r="B773" t="s">
        <v>31</v>
      </c>
      <c r="C773" t="s">
        <v>6</v>
      </c>
      <c r="D773" s="2">
        <v>300</v>
      </c>
      <c r="E773" s="3">
        <v>3847800</v>
      </c>
    </row>
    <row r="774" spans="1:5" x14ac:dyDescent="0.3">
      <c r="A774" s="1">
        <v>44119</v>
      </c>
      <c r="B774" t="s">
        <v>31</v>
      </c>
      <c r="C774" t="s">
        <v>7</v>
      </c>
      <c r="D774" s="2">
        <v>100</v>
      </c>
      <c r="E774" s="3">
        <v>832600</v>
      </c>
    </row>
    <row r="775" spans="1:5" x14ac:dyDescent="0.3">
      <c r="A775" s="1">
        <v>44119</v>
      </c>
      <c r="B775" t="s">
        <v>12</v>
      </c>
      <c r="C775" t="s">
        <v>6</v>
      </c>
      <c r="D775" s="2">
        <v>300</v>
      </c>
      <c r="E775" s="3">
        <v>3847800</v>
      </c>
    </row>
    <row r="776" spans="1:5" x14ac:dyDescent="0.3">
      <c r="A776" s="1">
        <v>44119</v>
      </c>
      <c r="B776" t="s">
        <v>12</v>
      </c>
      <c r="C776" t="s">
        <v>7</v>
      </c>
      <c r="D776" s="2">
        <v>100</v>
      </c>
      <c r="E776" s="3">
        <v>832600</v>
      </c>
    </row>
    <row r="777" spans="1:5" x14ac:dyDescent="0.3">
      <c r="A777" s="1">
        <v>44119</v>
      </c>
      <c r="B777" t="s">
        <v>51</v>
      </c>
      <c r="C777" t="s">
        <v>6</v>
      </c>
      <c r="D777" s="2">
        <v>300</v>
      </c>
      <c r="E777" s="3">
        <v>3847800</v>
      </c>
    </row>
    <row r="778" spans="1:5" x14ac:dyDescent="0.3">
      <c r="A778" s="1">
        <v>44119</v>
      </c>
      <c r="B778" t="s">
        <v>51</v>
      </c>
      <c r="C778" t="s">
        <v>7</v>
      </c>
      <c r="D778" s="2">
        <v>100</v>
      </c>
      <c r="E778" s="3">
        <v>832600</v>
      </c>
    </row>
    <row r="779" spans="1:5" x14ac:dyDescent="0.3">
      <c r="A779" s="1">
        <v>44119</v>
      </c>
      <c r="B779" t="s">
        <v>25</v>
      </c>
      <c r="C779" t="s">
        <v>6</v>
      </c>
      <c r="D779" s="2">
        <v>300</v>
      </c>
      <c r="E779" s="3">
        <v>3847800</v>
      </c>
    </row>
    <row r="780" spans="1:5" x14ac:dyDescent="0.3">
      <c r="A780" s="1">
        <v>44119</v>
      </c>
      <c r="B780" t="s">
        <v>25</v>
      </c>
      <c r="C780" t="s">
        <v>7</v>
      </c>
      <c r="D780" s="2">
        <v>100</v>
      </c>
      <c r="E780" s="3">
        <v>832600</v>
      </c>
    </row>
    <row r="781" spans="1:5" x14ac:dyDescent="0.3">
      <c r="A781" s="1">
        <v>44120</v>
      </c>
      <c r="B781" t="s">
        <v>127</v>
      </c>
      <c r="C781" t="s">
        <v>6</v>
      </c>
      <c r="D781" s="2">
        <v>200</v>
      </c>
      <c r="E781" s="3">
        <v>2565200</v>
      </c>
    </row>
    <row r="782" spans="1:5" x14ac:dyDescent="0.3">
      <c r="A782" s="1">
        <v>44120</v>
      </c>
      <c r="B782" t="s">
        <v>127</v>
      </c>
      <c r="C782" t="s">
        <v>7</v>
      </c>
      <c r="D782" s="2">
        <v>140</v>
      </c>
      <c r="E782" s="3">
        <v>1165640</v>
      </c>
    </row>
    <row r="783" spans="1:5" x14ac:dyDescent="0.3">
      <c r="A783" s="1">
        <v>44120</v>
      </c>
      <c r="B783" t="s">
        <v>140</v>
      </c>
      <c r="C783" t="s">
        <v>6</v>
      </c>
      <c r="D783" s="2">
        <v>400</v>
      </c>
      <c r="E783" s="3">
        <v>5130400</v>
      </c>
    </row>
    <row r="784" spans="1:5" x14ac:dyDescent="0.3">
      <c r="A784" s="1">
        <v>44120</v>
      </c>
      <c r="B784" t="s">
        <v>140</v>
      </c>
      <c r="C784" t="s">
        <v>7</v>
      </c>
      <c r="D784" s="2">
        <v>100</v>
      </c>
      <c r="E784" s="3">
        <v>832600</v>
      </c>
    </row>
    <row r="785" spans="1:5" x14ac:dyDescent="0.3">
      <c r="A785" s="1">
        <v>44120</v>
      </c>
      <c r="B785" t="s">
        <v>125</v>
      </c>
      <c r="C785" t="s">
        <v>4</v>
      </c>
      <c r="D785" s="2">
        <v>210</v>
      </c>
      <c r="E785" s="3">
        <v>2201850</v>
      </c>
    </row>
    <row r="786" spans="1:5" x14ac:dyDescent="0.3">
      <c r="A786" s="1">
        <v>44120</v>
      </c>
      <c r="B786" t="s">
        <v>102</v>
      </c>
      <c r="C786" t="s">
        <v>4</v>
      </c>
      <c r="D786" s="2">
        <v>2000</v>
      </c>
      <c r="E786" s="3">
        <v>20970000</v>
      </c>
    </row>
    <row r="787" spans="1:5" x14ac:dyDescent="0.3">
      <c r="A787" s="1">
        <v>44120</v>
      </c>
      <c r="B787" t="s">
        <v>103</v>
      </c>
      <c r="C787" t="s">
        <v>4</v>
      </c>
      <c r="D787" s="2">
        <v>3000</v>
      </c>
      <c r="E787" s="3">
        <v>31455000</v>
      </c>
    </row>
    <row r="788" spans="1:5" x14ac:dyDescent="0.3">
      <c r="A788" s="1">
        <v>44120</v>
      </c>
      <c r="B788" t="s">
        <v>173</v>
      </c>
      <c r="C788" t="s">
        <v>4</v>
      </c>
      <c r="D788" s="2">
        <v>2000</v>
      </c>
      <c r="E788" s="3">
        <v>20970000</v>
      </c>
    </row>
    <row r="789" spans="1:5" x14ac:dyDescent="0.3">
      <c r="A789" s="1">
        <v>44124</v>
      </c>
      <c r="B789" t="s">
        <v>124</v>
      </c>
      <c r="C789" t="s">
        <v>5</v>
      </c>
      <c r="D789" s="2">
        <v>50</v>
      </c>
      <c r="E789" s="3">
        <v>4408000</v>
      </c>
    </row>
    <row r="790" spans="1:5" x14ac:dyDescent="0.3">
      <c r="A790" s="1">
        <v>44124</v>
      </c>
      <c r="B790" t="s">
        <v>124</v>
      </c>
      <c r="C790" t="s">
        <v>6</v>
      </c>
      <c r="D790" s="2">
        <v>600</v>
      </c>
      <c r="E790" s="3">
        <v>7695600</v>
      </c>
    </row>
    <row r="791" spans="1:5" x14ac:dyDescent="0.3">
      <c r="A791" s="1">
        <v>44124</v>
      </c>
      <c r="B791" t="s">
        <v>124</v>
      </c>
      <c r="C791" t="s">
        <v>7</v>
      </c>
      <c r="D791" s="2">
        <v>100</v>
      </c>
      <c r="E791" s="3">
        <v>832600</v>
      </c>
    </row>
    <row r="792" spans="1:5" x14ac:dyDescent="0.3">
      <c r="A792" s="1">
        <v>44124</v>
      </c>
      <c r="B792" t="s">
        <v>122</v>
      </c>
      <c r="C792" t="s">
        <v>6</v>
      </c>
      <c r="D792" s="2">
        <v>600</v>
      </c>
      <c r="E792" s="3">
        <v>7695600</v>
      </c>
    </row>
    <row r="793" spans="1:5" x14ac:dyDescent="0.3">
      <c r="A793" s="1">
        <v>44124</v>
      </c>
      <c r="B793" t="s">
        <v>122</v>
      </c>
      <c r="C793" t="s">
        <v>7</v>
      </c>
      <c r="D793" s="2">
        <v>100</v>
      </c>
      <c r="E793" s="3">
        <v>832600</v>
      </c>
    </row>
    <row r="794" spans="1:5" x14ac:dyDescent="0.3">
      <c r="A794" s="1">
        <v>44124</v>
      </c>
      <c r="B794" t="s">
        <v>156</v>
      </c>
      <c r="C794" t="s">
        <v>4</v>
      </c>
      <c r="D794" s="2">
        <v>1500</v>
      </c>
      <c r="E794" s="3">
        <v>16267500</v>
      </c>
    </row>
    <row r="795" spans="1:5" x14ac:dyDescent="0.3">
      <c r="A795" s="1">
        <v>44124</v>
      </c>
      <c r="B795" t="s">
        <v>177</v>
      </c>
      <c r="C795" t="s">
        <v>4</v>
      </c>
      <c r="D795" s="2">
        <v>3510</v>
      </c>
      <c r="E795" s="3">
        <v>38065950</v>
      </c>
    </row>
    <row r="796" spans="1:5" x14ac:dyDescent="0.3">
      <c r="A796" s="1">
        <v>44124</v>
      </c>
      <c r="B796" t="s">
        <v>90</v>
      </c>
      <c r="C796" t="s">
        <v>4</v>
      </c>
      <c r="D796" s="2">
        <v>500</v>
      </c>
      <c r="E796" s="3">
        <v>5422500</v>
      </c>
    </row>
    <row r="797" spans="1:5" x14ac:dyDescent="0.3">
      <c r="A797" s="1">
        <v>44124</v>
      </c>
      <c r="B797" t="s">
        <v>171</v>
      </c>
      <c r="C797" t="s">
        <v>4</v>
      </c>
      <c r="D797" s="2">
        <v>210</v>
      </c>
      <c r="E797" s="3">
        <v>2277450</v>
      </c>
    </row>
    <row r="798" spans="1:5" x14ac:dyDescent="0.3">
      <c r="A798" s="1">
        <v>44124</v>
      </c>
      <c r="B798" t="s">
        <v>131</v>
      </c>
      <c r="C798" t="s">
        <v>4</v>
      </c>
      <c r="D798" s="2">
        <v>400</v>
      </c>
      <c r="E798" s="3">
        <v>4338000</v>
      </c>
    </row>
    <row r="799" spans="1:5" x14ac:dyDescent="0.3">
      <c r="A799" s="1">
        <v>44124</v>
      </c>
      <c r="B799" t="s">
        <v>125</v>
      </c>
      <c r="C799" t="s">
        <v>4</v>
      </c>
      <c r="D799" s="2">
        <v>170</v>
      </c>
      <c r="E799" s="3">
        <v>1843650</v>
      </c>
    </row>
    <row r="800" spans="1:5" x14ac:dyDescent="0.3">
      <c r="A800" s="1">
        <v>44124</v>
      </c>
      <c r="B800" t="s">
        <v>89</v>
      </c>
      <c r="C800" t="s">
        <v>4</v>
      </c>
      <c r="D800" s="2">
        <v>1500</v>
      </c>
      <c r="E800" s="3">
        <v>16267500</v>
      </c>
    </row>
    <row r="801" spans="1:5" x14ac:dyDescent="0.3">
      <c r="A801" s="1">
        <v>44124</v>
      </c>
      <c r="B801" t="s">
        <v>175</v>
      </c>
      <c r="C801" t="s">
        <v>4</v>
      </c>
      <c r="D801" s="2">
        <v>2990</v>
      </c>
      <c r="E801" s="3">
        <v>32426550</v>
      </c>
    </row>
    <row r="802" spans="1:5" x14ac:dyDescent="0.3">
      <c r="A802" s="1">
        <v>44126</v>
      </c>
      <c r="B802" t="s">
        <v>146</v>
      </c>
      <c r="C802" t="s">
        <v>6</v>
      </c>
      <c r="D802" s="2">
        <v>600</v>
      </c>
      <c r="E802" s="3">
        <v>7695600</v>
      </c>
    </row>
    <row r="803" spans="1:5" x14ac:dyDescent="0.3">
      <c r="A803" s="1">
        <v>44126</v>
      </c>
      <c r="B803" t="s">
        <v>146</v>
      </c>
      <c r="C803" t="s">
        <v>7</v>
      </c>
      <c r="D803" s="2">
        <v>20</v>
      </c>
      <c r="E803" s="3">
        <v>166520</v>
      </c>
    </row>
    <row r="804" spans="1:5" x14ac:dyDescent="0.3">
      <c r="A804" s="1">
        <v>44126</v>
      </c>
      <c r="B804" t="s">
        <v>97</v>
      </c>
      <c r="C804" t="s">
        <v>6</v>
      </c>
      <c r="D804" s="2">
        <v>360</v>
      </c>
      <c r="E804" s="3">
        <v>4617360</v>
      </c>
    </row>
    <row r="805" spans="1:5" x14ac:dyDescent="0.3">
      <c r="A805" s="1">
        <v>44126</v>
      </c>
      <c r="B805" t="s">
        <v>97</v>
      </c>
      <c r="C805" t="s">
        <v>7</v>
      </c>
      <c r="D805" s="2">
        <v>40</v>
      </c>
      <c r="E805" s="3">
        <v>333040</v>
      </c>
    </row>
    <row r="806" spans="1:5" x14ac:dyDescent="0.3">
      <c r="A806" s="1">
        <v>44127</v>
      </c>
      <c r="B806" t="s">
        <v>113</v>
      </c>
      <c r="C806" t="s">
        <v>4</v>
      </c>
      <c r="D806" s="2">
        <v>1470</v>
      </c>
      <c r="E806" s="3">
        <v>15868650</v>
      </c>
    </row>
    <row r="807" spans="1:5" x14ac:dyDescent="0.3">
      <c r="A807" s="1">
        <v>44127</v>
      </c>
      <c r="B807" t="s">
        <v>84</v>
      </c>
      <c r="C807" t="s">
        <v>4</v>
      </c>
      <c r="D807" s="2">
        <v>1000</v>
      </c>
      <c r="E807" s="3">
        <v>10795000</v>
      </c>
    </row>
    <row r="808" spans="1:5" x14ac:dyDescent="0.3">
      <c r="A808" s="1">
        <v>44127</v>
      </c>
      <c r="B808" t="s">
        <v>86</v>
      </c>
      <c r="C808" t="s">
        <v>4</v>
      </c>
      <c r="D808" s="2">
        <v>840</v>
      </c>
      <c r="E808" s="3">
        <v>9067800</v>
      </c>
    </row>
    <row r="809" spans="1:5" x14ac:dyDescent="0.3">
      <c r="A809" s="1">
        <v>44127</v>
      </c>
      <c r="B809" t="s">
        <v>180</v>
      </c>
      <c r="C809" t="s">
        <v>4</v>
      </c>
      <c r="D809" s="2">
        <v>2000</v>
      </c>
      <c r="E809" s="3">
        <v>21590000</v>
      </c>
    </row>
    <row r="810" spans="1:5" x14ac:dyDescent="0.3">
      <c r="A810" s="1">
        <v>44127</v>
      </c>
      <c r="B810" t="s">
        <v>144</v>
      </c>
      <c r="C810" t="s">
        <v>4</v>
      </c>
      <c r="D810" s="2">
        <v>500</v>
      </c>
      <c r="E810" s="3">
        <v>5397500</v>
      </c>
    </row>
    <row r="811" spans="1:5" x14ac:dyDescent="0.3">
      <c r="A811" s="1">
        <v>44127</v>
      </c>
      <c r="B811" t="s">
        <v>133</v>
      </c>
      <c r="C811" t="s">
        <v>4</v>
      </c>
      <c r="D811" s="2">
        <v>2000</v>
      </c>
      <c r="E811" s="3">
        <v>21590000</v>
      </c>
    </row>
    <row r="812" spans="1:5" x14ac:dyDescent="0.3">
      <c r="A812" s="1">
        <v>44127</v>
      </c>
      <c r="B812" t="s">
        <v>170</v>
      </c>
      <c r="C812" t="s">
        <v>4</v>
      </c>
      <c r="D812" s="2">
        <v>1000</v>
      </c>
      <c r="E812" s="3">
        <v>10795000</v>
      </c>
    </row>
    <row r="813" spans="1:5" x14ac:dyDescent="0.3">
      <c r="A813" s="1">
        <v>44130</v>
      </c>
      <c r="B813" t="s">
        <v>163</v>
      </c>
      <c r="C813" t="s">
        <v>4</v>
      </c>
      <c r="D813" s="2">
        <v>5000</v>
      </c>
      <c r="E813" s="3">
        <v>53975000</v>
      </c>
    </row>
    <row r="814" spans="1:5" x14ac:dyDescent="0.3">
      <c r="A814" s="1">
        <v>44130</v>
      </c>
      <c r="B814" t="s">
        <v>168</v>
      </c>
      <c r="C814" t="s">
        <v>4</v>
      </c>
      <c r="D814" s="2">
        <v>1000</v>
      </c>
      <c r="E814" s="3">
        <v>10795000</v>
      </c>
    </row>
    <row r="815" spans="1:5" x14ac:dyDescent="0.3">
      <c r="A815" s="1">
        <v>44130</v>
      </c>
      <c r="B815" t="s">
        <v>142</v>
      </c>
      <c r="C815" t="s">
        <v>4</v>
      </c>
      <c r="D815" s="2">
        <v>1700</v>
      </c>
      <c r="E815" s="3">
        <v>18351500</v>
      </c>
    </row>
    <row r="816" spans="1:5" x14ac:dyDescent="0.3">
      <c r="A816" s="1">
        <v>44130</v>
      </c>
      <c r="B816" t="s">
        <v>48</v>
      </c>
      <c r="C816" t="s">
        <v>4</v>
      </c>
      <c r="D816" s="2">
        <v>185</v>
      </c>
      <c r="E816" s="3">
        <v>2220000</v>
      </c>
    </row>
    <row r="817" spans="1:5" x14ac:dyDescent="0.3">
      <c r="A817" s="1">
        <v>44130</v>
      </c>
      <c r="B817" t="s">
        <v>48</v>
      </c>
      <c r="C817" t="s">
        <v>4</v>
      </c>
      <c r="D817" s="2">
        <v>74</v>
      </c>
      <c r="E817" s="3">
        <v>1702000</v>
      </c>
    </row>
    <row r="818" spans="1:5" x14ac:dyDescent="0.3">
      <c r="A818" s="1">
        <v>44139</v>
      </c>
      <c r="B818" t="s">
        <v>36</v>
      </c>
      <c r="C818" t="s">
        <v>4</v>
      </c>
      <c r="D818" s="2">
        <v>100</v>
      </c>
      <c r="E818" s="3">
        <v>1076500</v>
      </c>
    </row>
    <row r="819" spans="1:5" x14ac:dyDescent="0.3">
      <c r="A819" s="1">
        <v>44139</v>
      </c>
      <c r="B819" t="s">
        <v>36</v>
      </c>
      <c r="C819" t="s">
        <v>4</v>
      </c>
      <c r="D819" s="2">
        <v>700</v>
      </c>
      <c r="E819" s="3">
        <v>7339500</v>
      </c>
    </row>
    <row r="820" spans="1:5" x14ac:dyDescent="0.3">
      <c r="A820" s="1">
        <v>44139</v>
      </c>
      <c r="B820" t="s">
        <v>36</v>
      </c>
      <c r="C820" t="s">
        <v>3</v>
      </c>
      <c r="D820" s="2">
        <v>150</v>
      </c>
      <c r="E820" s="3">
        <v>1770000</v>
      </c>
    </row>
    <row r="821" spans="1:5" x14ac:dyDescent="0.3">
      <c r="A821" s="1">
        <v>44139</v>
      </c>
      <c r="B821" t="s">
        <v>36</v>
      </c>
      <c r="C821" t="s">
        <v>5</v>
      </c>
      <c r="D821" s="2">
        <v>80</v>
      </c>
      <c r="E821" s="3">
        <v>7052800</v>
      </c>
    </row>
    <row r="822" spans="1:5" x14ac:dyDescent="0.3">
      <c r="A822" s="1">
        <v>44139</v>
      </c>
      <c r="B822" t="s">
        <v>36</v>
      </c>
      <c r="C822" t="s">
        <v>6</v>
      </c>
      <c r="D822" s="2">
        <v>40</v>
      </c>
      <c r="E822" s="3">
        <v>513040</v>
      </c>
    </row>
    <row r="823" spans="1:5" x14ac:dyDescent="0.3">
      <c r="A823" s="1">
        <v>44141</v>
      </c>
      <c r="B823" t="s">
        <v>50</v>
      </c>
      <c r="C823" t="s">
        <v>4</v>
      </c>
      <c r="D823" s="2">
        <v>700</v>
      </c>
      <c r="E823" s="3">
        <v>7350000</v>
      </c>
    </row>
    <row r="824" spans="1:5" x14ac:dyDescent="0.3">
      <c r="A824" s="1">
        <v>44141</v>
      </c>
      <c r="B824" t="s">
        <v>86</v>
      </c>
      <c r="C824" t="s">
        <v>4</v>
      </c>
      <c r="D824" s="2">
        <v>1050</v>
      </c>
      <c r="E824" s="3">
        <v>11334750</v>
      </c>
    </row>
    <row r="825" spans="1:5" x14ac:dyDescent="0.3">
      <c r="A825" s="1">
        <v>44141</v>
      </c>
      <c r="B825" t="s">
        <v>157</v>
      </c>
      <c r="C825" t="s">
        <v>4</v>
      </c>
      <c r="D825" s="2">
        <v>2700</v>
      </c>
      <c r="E825" s="3">
        <v>29146500</v>
      </c>
    </row>
    <row r="826" spans="1:5" x14ac:dyDescent="0.3">
      <c r="A826" s="1">
        <v>44141</v>
      </c>
      <c r="B826" t="s">
        <v>180</v>
      </c>
      <c r="C826" t="s">
        <v>4</v>
      </c>
      <c r="D826" s="2">
        <v>4000</v>
      </c>
      <c r="E826" s="3">
        <v>43180000</v>
      </c>
    </row>
    <row r="827" spans="1:5" x14ac:dyDescent="0.3">
      <c r="A827" s="1">
        <v>44144</v>
      </c>
      <c r="B827" t="s">
        <v>42</v>
      </c>
      <c r="C827" t="s">
        <v>4</v>
      </c>
      <c r="D827" s="2">
        <v>50</v>
      </c>
      <c r="E827" s="3">
        <v>538250</v>
      </c>
    </row>
    <row r="828" spans="1:5" x14ac:dyDescent="0.3">
      <c r="A828" s="1">
        <v>44144</v>
      </c>
      <c r="B828" t="s">
        <v>42</v>
      </c>
      <c r="C828" t="s">
        <v>4</v>
      </c>
      <c r="D828" s="2">
        <v>750</v>
      </c>
      <c r="E828" s="3">
        <v>7863750</v>
      </c>
    </row>
    <row r="829" spans="1:5" x14ac:dyDescent="0.3">
      <c r="A829" s="1">
        <v>44144</v>
      </c>
      <c r="B829" t="s">
        <v>42</v>
      </c>
      <c r="C829" t="s">
        <v>3</v>
      </c>
      <c r="D829" s="2">
        <v>250</v>
      </c>
      <c r="E829" s="3">
        <v>2950000</v>
      </c>
    </row>
    <row r="830" spans="1:5" x14ac:dyDescent="0.3">
      <c r="A830" s="1">
        <v>44144</v>
      </c>
      <c r="B830" t="s">
        <v>42</v>
      </c>
      <c r="C830" t="s">
        <v>5</v>
      </c>
      <c r="D830" s="2">
        <v>50</v>
      </c>
      <c r="E830" s="3">
        <v>4408000</v>
      </c>
    </row>
    <row r="831" spans="1:5" x14ac:dyDescent="0.3">
      <c r="A831" s="1">
        <v>44144</v>
      </c>
      <c r="B831" t="s">
        <v>70</v>
      </c>
      <c r="C831" t="s">
        <v>4</v>
      </c>
      <c r="D831" s="2">
        <v>700</v>
      </c>
      <c r="E831" s="3">
        <v>7350000</v>
      </c>
    </row>
    <row r="832" spans="1:5" x14ac:dyDescent="0.3">
      <c r="A832" s="1">
        <v>44144</v>
      </c>
      <c r="B832" t="s">
        <v>70</v>
      </c>
      <c r="C832" t="s">
        <v>4</v>
      </c>
      <c r="D832" s="2">
        <v>200</v>
      </c>
      <c r="E832" s="3">
        <v>2024000</v>
      </c>
    </row>
    <row r="833" spans="1:5" x14ac:dyDescent="0.3">
      <c r="A833" s="1">
        <v>44144</v>
      </c>
      <c r="B833" t="s">
        <v>126</v>
      </c>
      <c r="C833" t="s">
        <v>4</v>
      </c>
      <c r="D833" s="2">
        <v>500</v>
      </c>
      <c r="E833" s="3">
        <v>5397500</v>
      </c>
    </row>
    <row r="834" spans="1:5" x14ac:dyDescent="0.3">
      <c r="A834" s="1">
        <v>44144</v>
      </c>
      <c r="B834" t="s">
        <v>138</v>
      </c>
      <c r="C834" t="s">
        <v>4</v>
      </c>
      <c r="D834" s="2">
        <v>2000</v>
      </c>
      <c r="E834" s="3">
        <v>21590000</v>
      </c>
    </row>
    <row r="835" spans="1:5" x14ac:dyDescent="0.3">
      <c r="A835" s="1">
        <v>44144</v>
      </c>
      <c r="B835" t="s">
        <v>91</v>
      </c>
      <c r="C835" t="s">
        <v>4</v>
      </c>
      <c r="D835" s="2">
        <v>2400</v>
      </c>
      <c r="E835" s="3">
        <v>25908000</v>
      </c>
    </row>
    <row r="836" spans="1:5" x14ac:dyDescent="0.3">
      <c r="A836" s="1">
        <v>44144</v>
      </c>
      <c r="B836" t="s">
        <v>117</v>
      </c>
      <c r="C836" t="s">
        <v>4</v>
      </c>
      <c r="D836" s="2">
        <v>2000</v>
      </c>
      <c r="E836" s="3">
        <v>21590000</v>
      </c>
    </row>
    <row r="837" spans="1:5" x14ac:dyDescent="0.3">
      <c r="A837" s="1">
        <v>44146</v>
      </c>
      <c r="B837" t="s">
        <v>75</v>
      </c>
      <c r="C837" t="s">
        <v>4</v>
      </c>
      <c r="D837" s="2">
        <v>350</v>
      </c>
      <c r="E837" s="3">
        <v>3669750</v>
      </c>
    </row>
    <row r="838" spans="1:5" x14ac:dyDescent="0.3">
      <c r="A838" s="1">
        <v>44146</v>
      </c>
      <c r="B838" t="s">
        <v>75</v>
      </c>
      <c r="C838" t="s">
        <v>4</v>
      </c>
      <c r="D838" s="2">
        <v>150</v>
      </c>
      <c r="E838" s="3">
        <v>1518000</v>
      </c>
    </row>
    <row r="839" spans="1:5" x14ac:dyDescent="0.3">
      <c r="A839" s="1">
        <v>44146</v>
      </c>
      <c r="B839" t="s">
        <v>85</v>
      </c>
      <c r="C839" t="s">
        <v>4</v>
      </c>
      <c r="D839" s="2">
        <v>2000</v>
      </c>
      <c r="E839" s="3">
        <v>21590000</v>
      </c>
    </row>
    <row r="840" spans="1:5" x14ac:dyDescent="0.3">
      <c r="A840" s="1">
        <v>44146</v>
      </c>
      <c r="B840" t="s">
        <v>130</v>
      </c>
      <c r="C840" t="s">
        <v>4</v>
      </c>
      <c r="D840" s="2">
        <v>1000</v>
      </c>
      <c r="E840" s="3">
        <v>10795000</v>
      </c>
    </row>
    <row r="841" spans="1:5" x14ac:dyDescent="0.3">
      <c r="A841" s="1">
        <v>44147</v>
      </c>
      <c r="B841" t="s">
        <v>135</v>
      </c>
      <c r="C841" t="s">
        <v>4</v>
      </c>
      <c r="D841" s="2">
        <v>230</v>
      </c>
      <c r="E841" s="3">
        <v>2481700</v>
      </c>
    </row>
    <row r="842" spans="1:5" x14ac:dyDescent="0.3">
      <c r="A842" s="1">
        <v>44147</v>
      </c>
      <c r="B842" t="s">
        <v>91</v>
      </c>
      <c r="C842" t="s">
        <v>4</v>
      </c>
      <c r="D842" s="2">
        <v>1100</v>
      </c>
      <c r="E842" s="3">
        <v>11869000</v>
      </c>
    </row>
    <row r="843" spans="1:5" x14ac:dyDescent="0.3">
      <c r="A843" s="1">
        <v>44147</v>
      </c>
      <c r="B843" t="s">
        <v>164</v>
      </c>
      <c r="C843" t="s">
        <v>4</v>
      </c>
      <c r="D843" s="2">
        <v>1000</v>
      </c>
      <c r="E843" s="3">
        <v>10790000</v>
      </c>
    </row>
    <row r="844" spans="1:5" x14ac:dyDescent="0.3">
      <c r="A844" s="1">
        <v>44147</v>
      </c>
      <c r="B844" t="s">
        <v>170</v>
      </c>
      <c r="C844" t="s">
        <v>4</v>
      </c>
      <c r="D844" s="2">
        <v>1000</v>
      </c>
      <c r="E844" s="3">
        <v>10790000</v>
      </c>
    </row>
    <row r="845" spans="1:5" x14ac:dyDescent="0.3">
      <c r="A845" s="1">
        <v>44147</v>
      </c>
      <c r="B845" t="s">
        <v>90</v>
      </c>
      <c r="C845" t="s">
        <v>4</v>
      </c>
      <c r="D845" s="2">
        <v>500</v>
      </c>
      <c r="E845" s="3">
        <v>5395000</v>
      </c>
    </row>
    <row r="846" spans="1:5" x14ac:dyDescent="0.3">
      <c r="A846" s="1">
        <v>44148</v>
      </c>
      <c r="B846" t="s">
        <v>117</v>
      </c>
      <c r="C846" t="s">
        <v>4</v>
      </c>
      <c r="D846" s="2">
        <v>4000</v>
      </c>
      <c r="E846" s="3">
        <v>43160000</v>
      </c>
    </row>
    <row r="847" spans="1:5" x14ac:dyDescent="0.3">
      <c r="A847" s="1">
        <v>44148</v>
      </c>
      <c r="B847" t="s">
        <v>151</v>
      </c>
      <c r="C847" t="s">
        <v>4</v>
      </c>
      <c r="D847" s="2">
        <v>200</v>
      </c>
      <c r="E847" s="3">
        <v>2158000</v>
      </c>
    </row>
    <row r="848" spans="1:5" x14ac:dyDescent="0.3">
      <c r="A848" s="1">
        <v>44151</v>
      </c>
      <c r="B848" t="s">
        <v>102</v>
      </c>
      <c r="C848" t="s">
        <v>4</v>
      </c>
      <c r="D848" s="2">
        <v>2000</v>
      </c>
      <c r="E848" s="3">
        <v>21580000</v>
      </c>
    </row>
    <row r="849" spans="1:5" x14ac:dyDescent="0.3">
      <c r="A849" s="1">
        <v>44151</v>
      </c>
      <c r="B849" t="s">
        <v>177</v>
      </c>
      <c r="C849" t="s">
        <v>4</v>
      </c>
      <c r="D849" s="2">
        <v>4000</v>
      </c>
      <c r="E849" s="3">
        <v>43160000</v>
      </c>
    </row>
    <row r="850" spans="1:5" x14ac:dyDescent="0.3">
      <c r="A850" s="1">
        <v>44151</v>
      </c>
      <c r="B850" t="s">
        <v>173</v>
      </c>
      <c r="C850" t="s">
        <v>4</v>
      </c>
      <c r="D850" s="2">
        <v>6000</v>
      </c>
      <c r="E850" s="3">
        <v>64740000</v>
      </c>
    </row>
    <row r="851" spans="1:5" x14ac:dyDescent="0.3">
      <c r="A851" s="1">
        <v>44151</v>
      </c>
      <c r="B851" t="s">
        <v>175</v>
      </c>
      <c r="C851" t="s">
        <v>4</v>
      </c>
      <c r="D851" s="2">
        <v>4000</v>
      </c>
      <c r="E851" s="3">
        <v>43160000</v>
      </c>
    </row>
    <row r="852" spans="1:5" x14ac:dyDescent="0.3">
      <c r="A852" s="1">
        <v>44152</v>
      </c>
      <c r="B852" t="s">
        <v>103</v>
      </c>
      <c r="C852" t="s">
        <v>4</v>
      </c>
      <c r="D852" s="2">
        <v>8000</v>
      </c>
      <c r="E852" s="3">
        <v>86320000</v>
      </c>
    </row>
    <row r="853" spans="1:5" x14ac:dyDescent="0.3">
      <c r="A853" s="1">
        <v>44152</v>
      </c>
      <c r="B853" t="s">
        <v>122</v>
      </c>
      <c r="C853" t="s">
        <v>4</v>
      </c>
      <c r="D853" s="2">
        <v>2000</v>
      </c>
      <c r="E853" s="3">
        <v>21580000</v>
      </c>
    </row>
    <row r="854" spans="1:5" x14ac:dyDescent="0.3">
      <c r="A854" s="1">
        <v>44152</v>
      </c>
      <c r="B854" t="s">
        <v>136</v>
      </c>
      <c r="C854" t="s">
        <v>4</v>
      </c>
      <c r="D854" s="2">
        <v>450</v>
      </c>
      <c r="E854" s="3">
        <v>4855500</v>
      </c>
    </row>
    <row r="855" spans="1:5" x14ac:dyDescent="0.3">
      <c r="A855" s="1">
        <v>44152</v>
      </c>
      <c r="B855" t="s">
        <v>125</v>
      </c>
      <c r="C855" t="s">
        <v>4</v>
      </c>
      <c r="D855" s="2">
        <v>360</v>
      </c>
      <c r="E855" s="3">
        <v>3884400</v>
      </c>
    </row>
    <row r="856" spans="1:5" x14ac:dyDescent="0.3">
      <c r="A856" s="1">
        <v>44152</v>
      </c>
      <c r="B856" t="s">
        <v>142</v>
      </c>
      <c r="C856" t="s">
        <v>4</v>
      </c>
      <c r="D856" s="2">
        <v>1500</v>
      </c>
      <c r="E856" s="3">
        <v>16185000</v>
      </c>
    </row>
    <row r="857" spans="1:5" x14ac:dyDescent="0.3">
      <c r="A857" s="1">
        <v>44152</v>
      </c>
      <c r="B857" t="s">
        <v>165</v>
      </c>
      <c r="C857" t="s">
        <v>4</v>
      </c>
      <c r="D857" s="2">
        <v>300</v>
      </c>
      <c r="E857" s="3">
        <v>3237000</v>
      </c>
    </row>
    <row r="858" spans="1:5" x14ac:dyDescent="0.3">
      <c r="A858" s="1">
        <v>44152</v>
      </c>
      <c r="B858" t="s">
        <v>95</v>
      </c>
      <c r="C858" t="s">
        <v>4</v>
      </c>
      <c r="D858" s="2">
        <v>300</v>
      </c>
      <c r="E858" s="3">
        <v>3237000</v>
      </c>
    </row>
    <row r="859" spans="1:5" x14ac:dyDescent="0.3">
      <c r="A859" s="1">
        <v>44152</v>
      </c>
      <c r="B859" t="s">
        <v>141</v>
      </c>
      <c r="C859" t="s">
        <v>4</v>
      </c>
      <c r="D859" s="2">
        <v>400</v>
      </c>
      <c r="E859" s="3">
        <v>4316000</v>
      </c>
    </row>
    <row r="860" spans="1:5" x14ac:dyDescent="0.3">
      <c r="A860" s="1">
        <v>44152</v>
      </c>
      <c r="B860" t="s">
        <v>131</v>
      </c>
      <c r="C860" t="s">
        <v>4</v>
      </c>
      <c r="D860" s="2">
        <v>600</v>
      </c>
      <c r="E860" s="3">
        <v>6474000</v>
      </c>
    </row>
    <row r="861" spans="1:5" x14ac:dyDescent="0.3">
      <c r="A861" s="1">
        <v>44152</v>
      </c>
      <c r="B861" t="s">
        <v>127</v>
      </c>
      <c r="C861" t="s">
        <v>4</v>
      </c>
      <c r="D861" s="2">
        <v>1900</v>
      </c>
      <c r="E861" s="3">
        <v>20501000</v>
      </c>
    </row>
    <row r="862" spans="1:5" x14ac:dyDescent="0.3">
      <c r="A862" s="1">
        <v>44152</v>
      </c>
      <c r="B862" t="s">
        <v>168</v>
      </c>
      <c r="C862" t="s">
        <v>4</v>
      </c>
      <c r="D862" s="2">
        <v>1500</v>
      </c>
      <c r="E862" s="3">
        <v>16185000</v>
      </c>
    </row>
    <row r="863" spans="1:5" x14ac:dyDescent="0.3">
      <c r="A863" s="1">
        <v>44153</v>
      </c>
      <c r="B863" t="s">
        <v>124</v>
      </c>
      <c r="C863" t="s">
        <v>4</v>
      </c>
      <c r="D863" s="2">
        <v>1300</v>
      </c>
      <c r="E863" s="3">
        <v>14027000</v>
      </c>
    </row>
    <row r="864" spans="1:5" x14ac:dyDescent="0.3">
      <c r="A864" s="1">
        <v>44153</v>
      </c>
      <c r="B864" t="s">
        <v>156</v>
      </c>
      <c r="C864" t="s">
        <v>4</v>
      </c>
      <c r="D864" s="2">
        <v>2250</v>
      </c>
      <c r="E864" s="3">
        <v>24277500</v>
      </c>
    </row>
    <row r="865" spans="1:5" x14ac:dyDescent="0.3">
      <c r="A865" s="1">
        <v>44153</v>
      </c>
      <c r="B865" t="s">
        <v>144</v>
      </c>
      <c r="C865" t="s">
        <v>4</v>
      </c>
      <c r="D865" s="2">
        <v>250</v>
      </c>
      <c r="E865" s="3">
        <v>2697500</v>
      </c>
    </row>
    <row r="866" spans="1:5" x14ac:dyDescent="0.3">
      <c r="A866" s="1">
        <v>44153</v>
      </c>
      <c r="B866" t="s">
        <v>84</v>
      </c>
      <c r="C866" t="s">
        <v>4</v>
      </c>
      <c r="D866" s="2">
        <v>500</v>
      </c>
      <c r="E866" s="3">
        <v>5395000</v>
      </c>
    </row>
    <row r="867" spans="1:5" x14ac:dyDescent="0.3">
      <c r="A867" s="1">
        <v>44153</v>
      </c>
      <c r="B867" t="s">
        <v>96</v>
      </c>
      <c r="C867" t="s">
        <v>4</v>
      </c>
      <c r="D867" s="2">
        <v>2000</v>
      </c>
      <c r="E867" s="3">
        <v>21580000</v>
      </c>
    </row>
    <row r="868" spans="1:5" x14ac:dyDescent="0.3">
      <c r="A868" s="1">
        <v>44155</v>
      </c>
      <c r="B868" t="s">
        <v>172</v>
      </c>
      <c r="C868" t="s">
        <v>4</v>
      </c>
      <c r="D868" s="2">
        <v>500</v>
      </c>
      <c r="E868" s="3">
        <v>5395000</v>
      </c>
    </row>
    <row r="869" spans="1:5" x14ac:dyDescent="0.3">
      <c r="A869" s="1">
        <v>44155</v>
      </c>
      <c r="B869" t="s">
        <v>178</v>
      </c>
      <c r="C869" t="s">
        <v>4</v>
      </c>
      <c r="D869" s="2">
        <v>400</v>
      </c>
      <c r="E869" s="3">
        <v>4316000</v>
      </c>
    </row>
    <row r="870" spans="1:5" x14ac:dyDescent="0.3">
      <c r="A870" s="1">
        <v>44155</v>
      </c>
      <c r="B870" t="s">
        <v>132</v>
      </c>
      <c r="C870" t="s">
        <v>4</v>
      </c>
      <c r="D870" s="2">
        <v>500</v>
      </c>
      <c r="E870" s="3">
        <v>5395000</v>
      </c>
    </row>
    <row r="871" spans="1:5" x14ac:dyDescent="0.3">
      <c r="A871" s="1">
        <v>44155</v>
      </c>
      <c r="B871" t="s">
        <v>113</v>
      </c>
      <c r="C871" t="s">
        <v>4</v>
      </c>
      <c r="D871" s="2">
        <v>670</v>
      </c>
      <c r="E871" s="3">
        <v>7232650</v>
      </c>
    </row>
    <row r="872" spans="1:5" x14ac:dyDescent="0.3">
      <c r="A872" s="1">
        <v>44155</v>
      </c>
      <c r="B872" t="s">
        <v>86</v>
      </c>
      <c r="C872" t="s">
        <v>4</v>
      </c>
      <c r="D872" s="2">
        <v>1150</v>
      </c>
      <c r="E872" s="3">
        <v>12408500</v>
      </c>
    </row>
    <row r="873" spans="1:5" x14ac:dyDescent="0.3">
      <c r="A873" s="1">
        <v>44158</v>
      </c>
      <c r="B873" t="s">
        <v>113</v>
      </c>
      <c r="C873" t="s">
        <v>4</v>
      </c>
      <c r="D873" s="2">
        <v>830</v>
      </c>
      <c r="E873" s="3">
        <v>8955700</v>
      </c>
    </row>
    <row r="874" spans="1:5" x14ac:dyDescent="0.3">
      <c r="A874" s="1">
        <v>44158</v>
      </c>
      <c r="B874" t="s">
        <v>163</v>
      </c>
      <c r="C874" t="s">
        <v>4</v>
      </c>
      <c r="D874" s="2">
        <v>5000</v>
      </c>
      <c r="E874" s="3">
        <v>53950000</v>
      </c>
    </row>
    <row r="875" spans="1:5" x14ac:dyDescent="0.3">
      <c r="A875" s="1">
        <v>44158</v>
      </c>
      <c r="B875" t="s">
        <v>94</v>
      </c>
      <c r="C875" t="s">
        <v>4</v>
      </c>
      <c r="D875" s="2">
        <v>4030</v>
      </c>
      <c r="E875" s="3">
        <v>43483700</v>
      </c>
    </row>
    <row r="876" spans="1:5" x14ac:dyDescent="0.3">
      <c r="A876" s="1">
        <v>44158</v>
      </c>
      <c r="B876" t="s">
        <v>167</v>
      </c>
      <c r="C876" t="s">
        <v>4</v>
      </c>
      <c r="D876" s="2">
        <v>500</v>
      </c>
      <c r="E876" s="3">
        <v>5395000</v>
      </c>
    </row>
    <row r="877" spans="1:5" x14ac:dyDescent="0.3">
      <c r="A877" s="1">
        <v>44158</v>
      </c>
      <c r="B877" t="s">
        <v>168</v>
      </c>
      <c r="C877" t="s">
        <v>4</v>
      </c>
      <c r="D877" s="2">
        <v>3500</v>
      </c>
      <c r="E877" s="3">
        <v>37765000</v>
      </c>
    </row>
    <row r="878" spans="1:5" x14ac:dyDescent="0.3">
      <c r="A878" s="1">
        <v>44159</v>
      </c>
      <c r="B878" t="s">
        <v>173</v>
      </c>
      <c r="C878" t="s">
        <v>4</v>
      </c>
      <c r="D878" s="2">
        <v>110</v>
      </c>
      <c r="E878" s="3">
        <v>1186900</v>
      </c>
    </row>
    <row r="879" spans="1:5" x14ac:dyDescent="0.3">
      <c r="A879" s="1">
        <v>44159</v>
      </c>
      <c r="B879" t="s">
        <v>103</v>
      </c>
      <c r="C879" t="s">
        <v>4</v>
      </c>
      <c r="D879" s="2">
        <v>4000</v>
      </c>
      <c r="E879" s="3">
        <v>43160000</v>
      </c>
    </row>
    <row r="880" spans="1:5" x14ac:dyDescent="0.3">
      <c r="A880" s="1">
        <v>44159</v>
      </c>
      <c r="B880" t="s">
        <v>180</v>
      </c>
      <c r="C880" t="s">
        <v>4</v>
      </c>
      <c r="D880" s="2">
        <v>6000</v>
      </c>
      <c r="E880" s="3">
        <v>64740000</v>
      </c>
    </row>
    <row r="881" spans="1:5" x14ac:dyDescent="0.3">
      <c r="A881" s="1">
        <v>44159</v>
      </c>
      <c r="B881" t="s">
        <v>91</v>
      </c>
      <c r="C881" t="s">
        <v>4</v>
      </c>
      <c r="D881" s="2">
        <v>2000</v>
      </c>
      <c r="E881" s="3">
        <v>21580000</v>
      </c>
    </row>
    <row r="882" spans="1:5" x14ac:dyDescent="0.3">
      <c r="A882" s="1">
        <v>44159</v>
      </c>
      <c r="B882" t="s">
        <v>179</v>
      </c>
      <c r="C882" t="s">
        <v>4</v>
      </c>
      <c r="D882" s="2">
        <v>500</v>
      </c>
      <c r="E882" s="3">
        <v>5395000</v>
      </c>
    </row>
    <row r="883" spans="1:5" x14ac:dyDescent="0.3">
      <c r="A883" s="1">
        <v>44159</v>
      </c>
      <c r="B883" t="s">
        <v>138</v>
      </c>
      <c r="C883" t="s">
        <v>4</v>
      </c>
      <c r="D883" s="2">
        <v>4000</v>
      </c>
      <c r="E883" s="3">
        <v>43160000</v>
      </c>
    </row>
    <row r="884" spans="1:5" x14ac:dyDescent="0.3">
      <c r="A884" s="1">
        <v>44159</v>
      </c>
      <c r="B884" t="s">
        <v>73</v>
      </c>
      <c r="C884" t="s">
        <v>4</v>
      </c>
      <c r="D884" s="2">
        <v>12460</v>
      </c>
      <c r="E884" s="3">
        <v>130643100</v>
      </c>
    </row>
    <row r="885" spans="1:5" x14ac:dyDescent="0.3">
      <c r="A885" s="1">
        <v>44159</v>
      </c>
      <c r="B885" t="s">
        <v>50</v>
      </c>
      <c r="C885" t="s">
        <v>4</v>
      </c>
      <c r="D885" s="2">
        <v>175</v>
      </c>
      <c r="E885" s="3">
        <v>1883875</v>
      </c>
    </row>
    <row r="886" spans="1:5" x14ac:dyDescent="0.3">
      <c r="A886" s="1">
        <v>44159</v>
      </c>
      <c r="B886" t="s">
        <v>50</v>
      </c>
      <c r="C886" t="s">
        <v>4</v>
      </c>
      <c r="D886" s="2">
        <v>1140</v>
      </c>
      <c r="E886" s="3">
        <v>11952900</v>
      </c>
    </row>
    <row r="887" spans="1:5" x14ac:dyDescent="0.3">
      <c r="A887" s="1">
        <v>44159</v>
      </c>
      <c r="B887" t="s">
        <v>50</v>
      </c>
      <c r="C887" t="s">
        <v>4</v>
      </c>
      <c r="D887" s="2">
        <v>600</v>
      </c>
      <c r="E887" s="3">
        <v>6072000</v>
      </c>
    </row>
    <row r="888" spans="1:5" x14ac:dyDescent="0.3">
      <c r="A888" s="1">
        <v>44159</v>
      </c>
      <c r="B888" t="s">
        <v>127</v>
      </c>
      <c r="C888" t="s">
        <v>3</v>
      </c>
      <c r="D888" s="2">
        <v>1512</v>
      </c>
      <c r="E888" s="3">
        <v>18144000</v>
      </c>
    </row>
    <row r="889" spans="1:5" x14ac:dyDescent="0.3">
      <c r="A889" s="1">
        <v>44159</v>
      </c>
      <c r="B889" t="s">
        <v>127</v>
      </c>
      <c r="C889" t="s">
        <v>5</v>
      </c>
      <c r="D889" s="2">
        <v>200</v>
      </c>
      <c r="E889" s="3">
        <v>17232000</v>
      </c>
    </row>
    <row r="890" spans="1:5" x14ac:dyDescent="0.3">
      <c r="A890" s="1">
        <v>44159</v>
      </c>
      <c r="B890" t="s">
        <v>127</v>
      </c>
      <c r="C890" t="s">
        <v>6</v>
      </c>
      <c r="D890" s="2">
        <v>60</v>
      </c>
      <c r="E890" s="3">
        <v>769560</v>
      </c>
    </row>
    <row r="891" spans="1:5" x14ac:dyDescent="0.3">
      <c r="A891" s="1">
        <v>44159</v>
      </c>
      <c r="B891" t="s">
        <v>127</v>
      </c>
      <c r="C891" t="s">
        <v>7</v>
      </c>
      <c r="D891" s="2">
        <v>60</v>
      </c>
      <c r="E891" s="3">
        <v>499560</v>
      </c>
    </row>
    <row r="892" spans="1:5" x14ac:dyDescent="0.3">
      <c r="A892" s="1">
        <v>44160</v>
      </c>
      <c r="B892" t="s">
        <v>73</v>
      </c>
      <c r="C892" t="s">
        <v>4</v>
      </c>
      <c r="D892" s="2">
        <v>33880</v>
      </c>
      <c r="E892" s="3">
        <v>359771720</v>
      </c>
    </row>
    <row r="893" spans="1:5" x14ac:dyDescent="0.3">
      <c r="A893" s="1">
        <v>44161</v>
      </c>
      <c r="B893" t="s">
        <v>73</v>
      </c>
      <c r="C893" t="s">
        <v>4</v>
      </c>
      <c r="D893" s="2">
        <v>17390</v>
      </c>
      <c r="E893" s="3">
        <v>184664410</v>
      </c>
    </row>
    <row r="894" spans="1:5" x14ac:dyDescent="0.3">
      <c r="A894" s="1">
        <v>44162</v>
      </c>
      <c r="B894" t="s">
        <v>75</v>
      </c>
      <c r="C894" t="s">
        <v>4</v>
      </c>
      <c r="D894" s="2">
        <v>500</v>
      </c>
      <c r="E894" s="3">
        <v>5309500</v>
      </c>
    </row>
    <row r="895" spans="1:5" x14ac:dyDescent="0.3">
      <c r="A895" s="1">
        <v>44162</v>
      </c>
      <c r="B895" t="s">
        <v>75</v>
      </c>
      <c r="C895" t="s">
        <v>4</v>
      </c>
      <c r="D895" s="2">
        <v>50</v>
      </c>
      <c r="E895" s="3">
        <v>506000</v>
      </c>
    </row>
    <row r="896" spans="1:5" x14ac:dyDescent="0.3">
      <c r="A896" s="1">
        <v>44162</v>
      </c>
      <c r="B896" t="s">
        <v>75</v>
      </c>
      <c r="C896" t="s">
        <v>3</v>
      </c>
      <c r="D896" s="2">
        <v>96</v>
      </c>
      <c r="E896" s="3">
        <v>1152000</v>
      </c>
    </row>
    <row r="897" spans="1:5" x14ac:dyDescent="0.3">
      <c r="A897" s="1">
        <v>44162</v>
      </c>
      <c r="B897" t="s">
        <v>75</v>
      </c>
      <c r="C897" t="s">
        <v>5</v>
      </c>
      <c r="D897" s="2">
        <v>100</v>
      </c>
      <c r="E897" s="3">
        <v>8616000</v>
      </c>
    </row>
    <row r="898" spans="1:5" x14ac:dyDescent="0.3">
      <c r="A898" s="1">
        <v>44162</v>
      </c>
      <c r="B898" t="s">
        <v>73</v>
      </c>
      <c r="C898" t="s">
        <v>4</v>
      </c>
      <c r="D898" s="2">
        <v>17390</v>
      </c>
      <c r="E898" s="3">
        <v>184664410</v>
      </c>
    </row>
    <row r="899" spans="1:5" x14ac:dyDescent="0.3">
      <c r="A899" s="1">
        <v>44162</v>
      </c>
      <c r="B899" t="s">
        <v>108</v>
      </c>
      <c r="C899" t="s">
        <v>4</v>
      </c>
      <c r="D899" s="2">
        <v>1500</v>
      </c>
      <c r="E899" s="3">
        <v>16185000</v>
      </c>
    </row>
    <row r="900" spans="1:5" x14ac:dyDescent="0.3">
      <c r="A900" s="1">
        <v>44166</v>
      </c>
      <c r="B900" t="s">
        <v>73</v>
      </c>
      <c r="C900" t="s">
        <v>4</v>
      </c>
      <c r="D900" s="2">
        <v>23480</v>
      </c>
      <c r="E900" s="3">
        <v>249334120</v>
      </c>
    </row>
    <row r="901" spans="1:5" x14ac:dyDescent="0.3">
      <c r="A901" s="1">
        <v>44167</v>
      </c>
      <c r="B901" t="s">
        <v>31</v>
      </c>
      <c r="C901" t="s">
        <v>3</v>
      </c>
      <c r="D901" s="2">
        <v>312</v>
      </c>
      <c r="E901" s="3">
        <v>3744000</v>
      </c>
    </row>
    <row r="902" spans="1:5" x14ac:dyDescent="0.3">
      <c r="A902" s="1">
        <v>44167</v>
      </c>
      <c r="B902" t="s">
        <v>31</v>
      </c>
      <c r="C902" t="s">
        <v>5</v>
      </c>
      <c r="D902" s="2">
        <v>40</v>
      </c>
      <c r="E902" s="3">
        <v>3446400</v>
      </c>
    </row>
    <row r="903" spans="1:5" x14ac:dyDescent="0.3">
      <c r="A903" s="1">
        <v>44167</v>
      </c>
      <c r="B903" t="s">
        <v>31</v>
      </c>
      <c r="C903" t="s">
        <v>6</v>
      </c>
      <c r="D903" s="2">
        <v>48</v>
      </c>
      <c r="E903" s="3">
        <v>615648</v>
      </c>
    </row>
    <row r="904" spans="1:5" x14ac:dyDescent="0.3">
      <c r="A904" s="1">
        <v>44167</v>
      </c>
      <c r="B904" t="s">
        <v>31</v>
      </c>
      <c r="C904" t="s">
        <v>7</v>
      </c>
      <c r="D904" s="2">
        <v>140</v>
      </c>
      <c r="E904" s="3">
        <v>1165640</v>
      </c>
    </row>
    <row r="905" spans="1:5" x14ac:dyDescent="0.3">
      <c r="A905" s="1">
        <v>44167</v>
      </c>
      <c r="B905" t="s">
        <v>73</v>
      </c>
      <c r="C905" t="s">
        <v>4</v>
      </c>
      <c r="D905" s="2">
        <v>18640</v>
      </c>
      <c r="E905" s="3">
        <v>197938160</v>
      </c>
    </row>
    <row r="906" spans="1:5" x14ac:dyDescent="0.3">
      <c r="A906" s="1">
        <v>44167</v>
      </c>
      <c r="B906" t="s">
        <v>73</v>
      </c>
      <c r="C906" t="s">
        <v>4</v>
      </c>
      <c r="D906" s="2">
        <v>25</v>
      </c>
      <c r="E906" s="3">
        <v>575000</v>
      </c>
    </row>
    <row r="907" spans="1:5" x14ac:dyDescent="0.3">
      <c r="A907" s="1">
        <v>44167</v>
      </c>
      <c r="B907" t="s">
        <v>85</v>
      </c>
      <c r="C907" t="s">
        <v>4</v>
      </c>
      <c r="D907" s="2">
        <v>2000</v>
      </c>
      <c r="E907" s="3">
        <v>21650000</v>
      </c>
    </row>
    <row r="908" spans="1:5" x14ac:dyDescent="0.3">
      <c r="A908" s="1">
        <v>44168</v>
      </c>
      <c r="B908" t="s">
        <v>65</v>
      </c>
      <c r="C908" t="s">
        <v>3</v>
      </c>
      <c r="D908" s="2">
        <v>970</v>
      </c>
      <c r="E908" s="3">
        <v>11640000</v>
      </c>
    </row>
    <row r="909" spans="1:5" x14ac:dyDescent="0.3">
      <c r="A909" s="1">
        <v>44168</v>
      </c>
      <c r="B909" t="s">
        <v>18</v>
      </c>
      <c r="C909" t="s">
        <v>3</v>
      </c>
      <c r="D909" s="2">
        <v>950</v>
      </c>
      <c r="E909" s="3">
        <v>11400000</v>
      </c>
    </row>
    <row r="910" spans="1:5" x14ac:dyDescent="0.3">
      <c r="A910" s="1">
        <v>44168</v>
      </c>
      <c r="B910" t="s">
        <v>73</v>
      </c>
      <c r="C910" t="s">
        <v>4</v>
      </c>
      <c r="D910" s="2">
        <v>520</v>
      </c>
      <c r="E910" s="3">
        <v>5452200</v>
      </c>
    </row>
    <row r="911" spans="1:5" x14ac:dyDescent="0.3">
      <c r="A911" s="1">
        <v>44168</v>
      </c>
      <c r="B911" t="s">
        <v>157</v>
      </c>
      <c r="C911" t="s">
        <v>4</v>
      </c>
      <c r="D911" s="2">
        <v>2000</v>
      </c>
      <c r="E911" s="3">
        <v>21650000</v>
      </c>
    </row>
    <row r="912" spans="1:5" x14ac:dyDescent="0.3">
      <c r="A912" s="1">
        <v>44169</v>
      </c>
      <c r="B912" t="s">
        <v>73</v>
      </c>
      <c r="C912" t="s">
        <v>4</v>
      </c>
      <c r="D912" s="2">
        <v>10820</v>
      </c>
      <c r="E912" s="3">
        <v>114897580</v>
      </c>
    </row>
    <row r="913" spans="1:5" x14ac:dyDescent="0.3">
      <c r="A913" s="1">
        <v>44172</v>
      </c>
      <c r="B913" t="s">
        <v>76</v>
      </c>
      <c r="C913" t="s">
        <v>4</v>
      </c>
      <c r="D913" s="2">
        <v>1000</v>
      </c>
      <c r="E913" s="3">
        <v>10619000</v>
      </c>
    </row>
    <row r="914" spans="1:5" x14ac:dyDescent="0.3">
      <c r="A914" s="1">
        <v>44172</v>
      </c>
      <c r="B914" t="s">
        <v>77</v>
      </c>
      <c r="C914" t="s">
        <v>3</v>
      </c>
      <c r="D914" s="2">
        <v>168</v>
      </c>
      <c r="E914" s="3">
        <v>2016000</v>
      </c>
    </row>
    <row r="915" spans="1:5" x14ac:dyDescent="0.3">
      <c r="A915" s="1">
        <v>44172</v>
      </c>
      <c r="B915" t="s">
        <v>77</v>
      </c>
      <c r="C915" t="s">
        <v>5</v>
      </c>
      <c r="D915" s="2">
        <v>50</v>
      </c>
      <c r="E915" s="3">
        <v>4308000</v>
      </c>
    </row>
    <row r="916" spans="1:5" x14ac:dyDescent="0.3">
      <c r="A916" s="1">
        <v>44172</v>
      </c>
      <c r="B916" t="s">
        <v>77</v>
      </c>
      <c r="C916" t="s">
        <v>6</v>
      </c>
      <c r="D916" s="2">
        <v>144</v>
      </c>
      <c r="E916" s="3">
        <v>1846944</v>
      </c>
    </row>
    <row r="917" spans="1:5" x14ac:dyDescent="0.3">
      <c r="A917" s="1">
        <v>44172</v>
      </c>
      <c r="B917" t="s">
        <v>77</v>
      </c>
      <c r="C917" t="s">
        <v>7</v>
      </c>
      <c r="D917" s="2">
        <v>40</v>
      </c>
      <c r="E917" s="3">
        <v>333040</v>
      </c>
    </row>
    <row r="918" spans="1:5" x14ac:dyDescent="0.3">
      <c r="A918" s="1">
        <v>44175</v>
      </c>
      <c r="B918" t="s">
        <v>51</v>
      </c>
      <c r="C918" t="s">
        <v>4</v>
      </c>
      <c r="D918" s="2">
        <v>1000</v>
      </c>
      <c r="E918" s="3">
        <v>10619000</v>
      </c>
    </row>
    <row r="919" spans="1:5" x14ac:dyDescent="0.3">
      <c r="A919" s="1">
        <v>44175</v>
      </c>
      <c r="B919" t="s">
        <v>51</v>
      </c>
      <c r="C919" t="s">
        <v>3</v>
      </c>
      <c r="D919" s="2">
        <v>48</v>
      </c>
      <c r="E919" s="3">
        <v>576000</v>
      </c>
    </row>
    <row r="920" spans="1:5" x14ac:dyDescent="0.3">
      <c r="A920" s="1">
        <v>44175</v>
      </c>
      <c r="B920" t="s">
        <v>51</v>
      </c>
      <c r="C920" t="s">
        <v>5</v>
      </c>
      <c r="D920" s="2">
        <v>50</v>
      </c>
      <c r="E920" s="3">
        <v>4308000</v>
      </c>
    </row>
    <row r="921" spans="1:5" x14ac:dyDescent="0.3">
      <c r="A921" s="1">
        <v>44175</v>
      </c>
      <c r="B921" t="s">
        <v>51</v>
      </c>
      <c r="C921" t="s">
        <v>6</v>
      </c>
      <c r="D921" s="2">
        <v>36</v>
      </c>
      <c r="E921" s="3">
        <v>461736</v>
      </c>
    </row>
    <row r="922" spans="1:5" x14ac:dyDescent="0.3">
      <c r="A922" s="1">
        <v>44175</v>
      </c>
      <c r="B922" t="s">
        <v>51</v>
      </c>
      <c r="C922" t="s">
        <v>7</v>
      </c>
      <c r="D922" s="2">
        <v>20</v>
      </c>
      <c r="E922" s="3">
        <v>166520</v>
      </c>
    </row>
    <row r="923" spans="1:5" x14ac:dyDescent="0.3">
      <c r="A923" s="1">
        <v>44180</v>
      </c>
      <c r="B923" t="s">
        <v>124</v>
      </c>
      <c r="C923" t="s">
        <v>4</v>
      </c>
      <c r="D923" s="2">
        <v>1400</v>
      </c>
      <c r="E923" s="3">
        <v>15155000</v>
      </c>
    </row>
    <row r="924" spans="1:5" x14ac:dyDescent="0.3">
      <c r="A924" s="1">
        <v>44180</v>
      </c>
      <c r="B924" t="s">
        <v>122</v>
      </c>
      <c r="C924" t="s">
        <v>4</v>
      </c>
      <c r="D924" s="2">
        <v>2000</v>
      </c>
      <c r="E924" s="3">
        <v>21650000</v>
      </c>
    </row>
    <row r="925" spans="1:5" x14ac:dyDescent="0.3">
      <c r="A925" s="1">
        <v>44180</v>
      </c>
      <c r="B925" t="s">
        <v>126</v>
      </c>
      <c r="C925" t="s">
        <v>4</v>
      </c>
      <c r="D925" s="2">
        <v>700</v>
      </c>
      <c r="E925" s="3">
        <v>7577500</v>
      </c>
    </row>
    <row r="926" spans="1:5" x14ac:dyDescent="0.3">
      <c r="A926" s="1">
        <v>44180</v>
      </c>
      <c r="B926" t="s">
        <v>142</v>
      </c>
      <c r="C926" t="s">
        <v>4</v>
      </c>
      <c r="D926" s="2">
        <v>1500</v>
      </c>
      <c r="E926" s="3">
        <v>16237500</v>
      </c>
    </row>
    <row r="927" spans="1:5" x14ac:dyDescent="0.3">
      <c r="A927" s="1">
        <v>44180</v>
      </c>
      <c r="B927" t="s">
        <v>127</v>
      </c>
      <c r="C927" t="s">
        <v>4</v>
      </c>
      <c r="D927" s="2">
        <v>1000</v>
      </c>
      <c r="E927" s="3">
        <v>10825000</v>
      </c>
    </row>
    <row r="928" spans="1:5" x14ac:dyDescent="0.3">
      <c r="A928" s="1">
        <v>44180</v>
      </c>
      <c r="B928" t="s">
        <v>168</v>
      </c>
      <c r="C928" t="s">
        <v>4</v>
      </c>
      <c r="D928" s="2">
        <v>3500</v>
      </c>
      <c r="E928" s="3">
        <v>37887500</v>
      </c>
    </row>
    <row r="929" spans="1:5" x14ac:dyDescent="0.3">
      <c r="A929" s="1">
        <v>44180</v>
      </c>
      <c r="B929" t="s">
        <v>96</v>
      </c>
      <c r="C929" t="s">
        <v>4</v>
      </c>
      <c r="D929" s="2">
        <v>2000</v>
      </c>
      <c r="E929" s="3">
        <v>21650000</v>
      </c>
    </row>
    <row r="930" spans="1:5" x14ac:dyDescent="0.3">
      <c r="A930" s="1">
        <v>44180</v>
      </c>
      <c r="B930" t="s">
        <v>86</v>
      </c>
      <c r="C930" t="s">
        <v>4</v>
      </c>
      <c r="D930" s="2">
        <v>380</v>
      </c>
      <c r="E930" s="3">
        <v>4113500</v>
      </c>
    </row>
    <row r="931" spans="1:5" x14ac:dyDescent="0.3">
      <c r="A931" s="1">
        <v>44180</v>
      </c>
      <c r="B931" t="s">
        <v>117</v>
      </c>
      <c r="C931" t="s">
        <v>4</v>
      </c>
      <c r="D931" s="2">
        <v>7000</v>
      </c>
      <c r="E931" s="3">
        <v>75775000</v>
      </c>
    </row>
    <row r="932" spans="1:5" x14ac:dyDescent="0.3">
      <c r="A932" s="1">
        <v>44180</v>
      </c>
      <c r="B932" t="s">
        <v>140</v>
      </c>
      <c r="C932" t="s">
        <v>4</v>
      </c>
      <c r="D932" s="2">
        <v>1500</v>
      </c>
      <c r="E932" s="3">
        <v>16237500</v>
      </c>
    </row>
    <row r="933" spans="1:5" x14ac:dyDescent="0.3">
      <c r="A933" s="1">
        <v>44181</v>
      </c>
      <c r="B933" t="s">
        <v>85</v>
      </c>
      <c r="C933" t="s">
        <v>4</v>
      </c>
      <c r="D933" s="2">
        <v>2000</v>
      </c>
      <c r="E933" s="3">
        <v>21650000</v>
      </c>
    </row>
    <row r="934" spans="1:5" x14ac:dyDescent="0.3">
      <c r="A934" s="1">
        <v>44181</v>
      </c>
      <c r="B934" t="s">
        <v>135</v>
      </c>
      <c r="C934" t="s">
        <v>4</v>
      </c>
      <c r="D934" s="2">
        <v>230</v>
      </c>
      <c r="E934" s="3">
        <v>2489750</v>
      </c>
    </row>
    <row r="935" spans="1:5" x14ac:dyDescent="0.3">
      <c r="A935" s="1">
        <v>44181</v>
      </c>
      <c r="B935" t="s">
        <v>141</v>
      </c>
      <c r="C935" t="s">
        <v>4</v>
      </c>
      <c r="D935" s="2">
        <v>400</v>
      </c>
      <c r="E935" s="3">
        <v>4330000</v>
      </c>
    </row>
    <row r="936" spans="1:5" x14ac:dyDescent="0.3">
      <c r="A936" s="1">
        <v>44181</v>
      </c>
      <c r="B936" t="s">
        <v>151</v>
      </c>
      <c r="C936" t="s">
        <v>4</v>
      </c>
      <c r="D936" s="2">
        <v>300</v>
      </c>
      <c r="E936" s="3">
        <v>3247500</v>
      </c>
    </row>
    <row r="937" spans="1:5" x14ac:dyDescent="0.3">
      <c r="A937" s="1">
        <v>44181</v>
      </c>
      <c r="B937" t="s">
        <v>90</v>
      </c>
      <c r="C937" t="s">
        <v>4</v>
      </c>
      <c r="D937" s="2">
        <v>470</v>
      </c>
      <c r="E937" s="3">
        <v>5087750</v>
      </c>
    </row>
    <row r="938" spans="1:5" x14ac:dyDescent="0.3">
      <c r="A938" s="1">
        <v>44181</v>
      </c>
      <c r="B938" t="s">
        <v>131</v>
      </c>
      <c r="C938" t="s">
        <v>4</v>
      </c>
      <c r="D938" s="2">
        <v>400</v>
      </c>
      <c r="E938" s="3">
        <v>4330000</v>
      </c>
    </row>
    <row r="939" spans="1:5" x14ac:dyDescent="0.3">
      <c r="A939" s="1">
        <v>44181</v>
      </c>
      <c r="B939" t="s">
        <v>170</v>
      </c>
      <c r="C939" t="s">
        <v>4</v>
      </c>
      <c r="D939" s="2">
        <v>1000</v>
      </c>
      <c r="E939" s="3">
        <v>10825000</v>
      </c>
    </row>
    <row r="940" spans="1:5" x14ac:dyDescent="0.3">
      <c r="A940" s="1">
        <v>44181</v>
      </c>
      <c r="B940" t="s">
        <v>73</v>
      </c>
      <c r="C940" t="s">
        <v>4</v>
      </c>
      <c r="D940" s="2">
        <v>1660</v>
      </c>
      <c r="E940" s="3">
        <v>17627540</v>
      </c>
    </row>
    <row r="941" spans="1:5" x14ac:dyDescent="0.3">
      <c r="A941" s="1">
        <v>44182</v>
      </c>
      <c r="B941" t="s">
        <v>125</v>
      </c>
      <c r="C941" t="s">
        <v>4</v>
      </c>
      <c r="D941" s="2">
        <v>350</v>
      </c>
      <c r="E941" s="3">
        <v>3788750</v>
      </c>
    </row>
    <row r="942" spans="1:5" x14ac:dyDescent="0.3">
      <c r="A942" s="1">
        <v>44182</v>
      </c>
      <c r="B942" t="s">
        <v>121</v>
      </c>
      <c r="C942" t="s">
        <v>4</v>
      </c>
      <c r="D942" s="2">
        <v>500</v>
      </c>
      <c r="E942" s="3">
        <v>5412500</v>
      </c>
    </row>
    <row r="943" spans="1:5" x14ac:dyDescent="0.3">
      <c r="A943" s="1">
        <v>44182</v>
      </c>
      <c r="B943" t="s">
        <v>132</v>
      </c>
      <c r="C943" t="s">
        <v>4</v>
      </c>
      <c r="D943" s="2">
        <v>500</v>
      </c>
      <c r="E943" s="3">
        <v>5412500</v>
      </c>
    </row>
    <row r="944" spans="1:5" x14ac:dyDescent="0.3">
      <c r="A944" s="1">
        <v>44182</v>
      </c>
      <c r="B944" t="s">
        <v>133</v>
      </c>
      <c r="C944" t="s">
        <v>4</v>
      </c>
      <c r="D944" s="2">
        <v>500</v>
      </c>
      <c r="E944" s="3">
        <v>5412500</v>
      </c>
    </row>
    <row r="945" spans="1:5" x14ac:dyDescent="0.3">
      <c r="A945" s="1">
        <v>44182</v>
      </c>
      <c r="B945" t="s">
        <v>102</v>
      </c>
      <c r="C945" t="s">
        <v>4</v>
      </c>
      <c r="D945" s="2">
        <v>2000</v>
      </c>
      <c r="E945" s="3">
        <v>21650000</v>
      </c>
    </row>
    <row r="946" spans="1:5" x14ac:dyDescent="0.3">
      <c r="A946" s="1">
        <v>44182</v>
      </c>
      <c r="B946" t="s">
        <v>84</v>
      </c>
      <c r="C946" t="s">
        <v>4</v>
      </c>
      <c r="D946" s="2">
        <v>500</v>
      </c>
      <c r="E946" s="3">
        <v>5412500</v>
      </c>
    </row>
    <row r="947" spans="1:5" x14ac:dyDescent="0.3">
      <c r="A947" s="1">
        <v>44182</v>
      </c>
      <c r="B947" t="s">
        <v>117</v>
      </c>
      <c r="C947" t="s">
        <v>4</v>
      </c>
      <c r="D947" s="2">
        <v>3040</v>
      </c>
      <c r="E947" s="3">
        <v>32908000</v>
      </c>
    </row>
    <row r="948" spans="1:5" x14ac:dyDescent="0.3">
      <c r="A948" s="1">
        <v>44182</v>
      </c>
      <c r="B948" t="s">
        <v>103</v>
      </c>
      <c r="C948" t="s">
        <v>4</v>
      </c>
      <c r="D948" s="2">
        <v>10000</v>
      </c>
      <c r="E948" s="3">
        <v>108250000</v>
      </c>
    </row>
    <row r="949" spans="1:5" x14ac:dyDescent="0.3">
      <c r="A949" s="1">
        <v>44183</v>
      </c>
      <c r="B949" t="s">
        <v>113</v>
      </c>
      <c r="C949" t="s">
        <v>4</v>
      </c>
      <c r="D949" s="2">
        <v>1500</v>
      </c>
      <c r="E949" s="3">
        <v>16159500</v>
      </c>
    </row>
    <row r="950" spans="1:5" x14ac:dyDescent="0.3">
      <c r="A950" s="1">
        <v>44183</v>
      </c>
      <c r="B950" t="s">
        <v>89</v>
      </c>
      <c r="C950" t="s">
        <v>4</v>
      </c>
      <c r="D950" s="2">
        <v>1800</v>
      </c>
      <c r="E950" s="3">
        <v>19391400</v>
      </c>
    </row>
    <row r="951" spans="1:5" x14ac:dyDescent="0.3">
      <c r="A951" s="1">
        <v>44183</v>
      </c>
      <c r="B951" t="s">
        <v>86</v>
      </c>
      <c r="C951" t="s">
        <v>4</v>
      </c>
      <c r="D951" s="2">
        <v>1620</v>
      </c>
      <c r="E951" s="3">
        <v>17452260</v>
      </c>
    </row>
    <row r="952" spans="1:5" x14ac:dyDescent="0.3">
      <c r="A952" s="1">
        <v>44183</v>
      </c>
      <c r="B952" t="s">
        <v>117</v>
      </c>
      <c r="C952" t="s">
        <v>4</v>
      </c>
      <c r="D952" s="2">
        <v>1960</v>
      </c>
      <c r="E952" s="3">
        <v>21115080</v>
      </c>
    </row>
    <row r="953" spans="1:5" x14ac:dyDescent="0.3">
      <c r="A953" s="1">
        <v>44183</v>
      </c>
      <c r="B953" t="s">
        <v>156</v>
      </c>
      <c r="C953" t="s">
        <v>4</v>
      </c>
      <c r="D953" s="2">
        <v>2250</v>
      </c>
      <c r="E953" s="3">
        <v>24239250</v>
      </c>
    </row>
    <row r="954" spans="1:5" x14ac:dyDescent="0.3">
      <c r="A954" s="1">
        <v>44183</v>
      </c>
      <c r="B954" t="s">
        <v>136</v>
      </c>
      <c r="C954" t="s">
        <v>4</v>
      </c>
      <c r="D954" s="2">
        <v>500</v>
      </c>
      <c r="E954" s="3">
        <v>5386500</v>
      </c>
    </row>
    <row r="955" spans="1:5" x14ac:dyDescent="0.3">
      <c r="A955" s="1">
        <v>44183</v>
      </c>
      <c r="B955" t="s">
        <v>91</v>
      </c>
      <c r="C955" t="s">
        <v>4</v>
      </c>
      <c r="D955" s="2">
        <v>500</v>
      </c>
      <c r="E955" s="3">
        <v>5386500</v>
      </c>
    </row>
    <row r="956" spans="1:5" x14ac:dyDescent="0.3">
      <c r="A956" s="1">
        <v>44183</v>
      </c>
      <c r="B956" t="s">
        <v>142</v>
      </c>
      <c r="C956" t="s">
        <v>4</v>
      </c>
      <c r="D956" s="2">
        <v>500</v>
      </c>
      <c r="E956" s="3">
        <v>5386500</v>
      </c>
    </row>
    <row r="957" spans="1:5" x14ac:dyDescent="0.3">
      <c r="A957" s="1">
        <v>44186</v>
      </c>
      <c r="B957" t="s">
        <v>94</v>
      </c>
      <c r="C957" t="s">
        <v>4</v>
      </c>
      <c r="D957" s="2">
        <v>4000</v>
      </c>
      <c r="E957" s="3">
        <v>43092000</v>
      </c>
    </row>
    <row r="958" spans="1:5" x14ac:dyDescent="0.3">
      <c r="A958" s="1">
        <v>44186</v>
      </c>
      <c r="B958" t="s">
        <v>180</v>
      </c>
      <c r="C958" t="s">
        <v>4</v>
      </c>
      <c r="D958" s="2">
        <v>4000</v>
      </c>
      <c r="E958" s="3">
        <v>43092000</v>
      </c>
    </row>
    <row r="959" spans="1:5" x14ac:dyDescent="0.3">
      <c r="A959" s="1">
        <v>44186</v>
      </c>
      <c r="B959" t="s">
        <v>173</v>
      </c>
      <c r="C959" t="s">
        <v>4</v>
      </c>
      <c r="D959" s="2">
        <v>6000</v>
      </c>
      <c r="E959" s="3">
        <v>64638000</v>
      </c>
    </row>
    <row r="960" spans="1:5" x14ac:dyDescent="0.3">
      <c r="A960" s="1">
        <v>44186</v>
      </c>
      <c r="B960" t="s">
        <v>175</v>
      </c>
      <c r="C960" t="s">
        <v>4</v>
      </c>
      <c r="D960" s="2">
        <v>3500</v>
      </c>
      <c r="E960" s="3">
        <v>37705500</v>
      </c>
    </row>
    <row r="961" spans="1:5" x14ac:dyDescent="0.3">
      <c r="A961" s="1">
        <v>44186</v>
      </c>
      <c r="B961" t="s">
        <v>177</v>
      </c>
      <c r="C961" t="s">
        <v>4</v>
      </c>
      <c r="D961" s="2">
        <v>3500</v>
      </c>
      <c r="E961" s="3">
        <v>37705500</v>
      </c>
    </row>
    <row r="962" spans="1:5" x14ac:dyDescent="0.3">
      <c r="A962" s="1">
        <v>44186</v>
      </c>
      <c r="B962" t="s">
        <v>50</v>
      </c>
      <c r="C962" t="s">
        <v>4</v>
      </c>
      <c r="D962" s="2">
        <v>100</v>
      </c>
      <c r="E962" s="3">
        <v>1086000</v>
      </c>
    </row>
    <row r="963" spans="1:5" x14ac:dyDescent="0.3">
      <c r="A963" s="1">
        <v>44186</v>
      </c>
      <c r="B963" t="s">
        <v>50</v>
      </c>
      <c r="C963" t="s">
        <v>4</v>
      </c>
      <c r="D963" s="2">
        <v>1000</v>
      </c>
      <c r="E963" s="3">
        <v>10619000</v>
      </c>
    </row>
    <row r="964" spans="1:5" x14ac:dyDescent="0.3">
      <c r="A964" s="1">
        <v>44186</v>
      </c>
      <c r="B964" t="s">
        <v>50</v>
      </c>
      <c r="C964" t="s">
        <v>4</v>
      </c>
      <c r="D964" s="2">
        <v>50</v>
      </c>
      <c r="E964" s="3">
        <v>510300</v>
      </c>
    </row>
    <row r="965" spans="1:5" x14ac:dyDescent="0.3">
      <c r="A965" s="1">
        <v>44186</v>
      </c>
      <c r="B965" t="s">
        <v>50</v>
      </c>
      <c r="C965" t="s">
        <v>3</v>
      </c>
      <c r="D965" s="2">
        <v>300</v>
      </c>
      <c r="E965" s="3">
        <v>3600000</v>
      </c>
    </row>
    <row r="966" spans="1:5" x14ac:dyDescent="0.3">
      <c r="A966" s="1">
        <v>44186</v>
      </c>
      <c r="B966" t="s">
        <v>50</v>
      </c>
      <c r="C966" t="s">
        <v>5</v>
      </c>
      <c r="D966" s="2">
        <v>100</v>
      </c>
      <c r="E966" s="3">
        <v>8616000</v>
      </c>
    </row>
    <row r="967" spans="1:5" x14ac:dyDescent="0.3">
      <c r="A967" s="1">
        <v>44186</v>
      </c>
      <c r="B967" t="s">
        <v>50</v>
      </c>
      <c r="C967" t="s">
        <v>6</v>
      </c>
      <c r="D967" s="2">
        <v>400</v>
      </c>
      <c r="E967" s="3">
        <v>5130400</v>
      </c>
    </row>
    <row r="968" spans="1:5" x14ac:dyDescent="0.3">
      <c r="A968" s="1">
        <v>44186</v>
      </c>
      <c r="B968" t="s">
        <v>50</v>
      </c>
      <c r="C968" t="s">
        <v>7</v>
      </c>
      <c r="D968" s="2">
        <v>40</v>
      </c>
      <c r="E968" s="3">
        <v>333040</v>
      </c>
    </row>
    <row r="969" spans="1:5" x14ac:dyDescent="0.3">
      <c r="A969" s="1">
        <v>44186</v>
      </c>
      <c r="B969" t="s">
        <v>92</v>
      </c>
      <c r="C969" t="s">
        <v>4</v>
      </c>
      <c r="D969" s="2">
        <v>100</v>
      </c>
      <c r="E969" s="3">
        <v>1086000</v>
      </c>
    </row>
    <row r="970" spans="1:5" x14ac:dyDescent="0.3">
      <c r="A970" s="1">
        <v>44186</v>
      </c>
      <c r="B970" t="s">
        <v>92</v>
      </c>
      <c r="C970" t="s">
        <v>4</v>
      </c>
      <c r="D970" s="2">
        <v>650</v>
      </c>
      <c r="E970" s="3">
        <v>6902350</v>
      </c>
    </row>
    <row r="971" spans="1:5" x14ac:dyDescent="0.3">
      <c r="A971" s="1">
        <v>44186</v>
      </c>
      <c r="B971" t="s">
        <v>92</v>
      </c>
      <c r="C971" t="s">
        <v>4</v>
      </c>
      <c r="D971" s="2">
        <v>100</v>
      </c>
      <c r="E971" s="3">
        <v>1020600</v>
      </c>
    </row>
    <row r="972" spans="1:5" x14ac:dyDescent="0.3">
      <c r="A972" s="1">
        <v>44186</v>
      </c>
      <c r="B972" t="s">
        <v>92</v>
      </c>
      <c r="C972" t="s">
        <v>3</v>
      </c>
      <c r="D972" s="2">
        <v>420</v>
      </c>
      <c r="E972" s="3">
        <v>5040000</v>
      </c>
    </row>
    <row r="973" spans="1:5" x14ac:dyDescent="0.3">
      <c r="A973" s="1">
        <v>44186</v>
      </c>
      <c r="B973" t="s">
        <v>92</v>
      </c>
      <c r="C973" t="s">
        <v>5</v>
      </c>
      <c r="D973" s="2">
        <v>75</v>
      </c>
      <c r="E973" s="3">
        <v>6462000</v>
      </c>
    </row>
    <row r="974" spans="1:5" x14ac:dyDescent="0.3">
      <c r="A974" s="1">
        <v>44186</v>
      </c>
      <c r="B974" t="s">
        <v>92</v>
      </c>
      <c r="C974" t="s">
        <v>6</v>
      </c>
      <c r="D974" s="2">
        <v>80</v>
      </c>
      <c r="E974" s="3">
        <v>1026080</v>
      </c>
    </row>
    <row r="975" spans="1:5" x14ac:dyDescent="0.3">
      <c r="A975" s="1">
        <v>44186</v>
      </c>
      <c r="B975" t="s">
        <v>92</v>
      </c>
      <c r="C975" t="s">
        <v>7</v>
      </c>
      <c r="D975" s="2">
        <v>100</v>
      </c>
      <c r="E975" s="3">
        <v>832600</v>
      </c>
    </row>
    <row r="976" spans="1:5" x14ac:dyDescent="0.3">
      <c r="A976" s="1">
        <v>44187</v>
      </c>
      <c r="B976" t="s">
        <v>42</v>
      </c>
      <c r="C976" t="s">
        <v>3</v>
      </c>
      <c r="D976" s="2">
        <v>2400</v>
      </c>
      <c r="E976" s="3">
        <v>28800000</v>
      </c>
    </row>
    <row r="977" spans="1:5" x14ac:dyDescent="0.3">
      <c r="A977" s="1">
        <v>44187</v>
      </c>
      <c r="B977" t="s">
        <v>75</v>
      </c>
      <c r="C977" t="s">
        <v>3</v>
      </c>
      <c r="D977" s="2">
        <v>2400</v>
      </c>
      <c r="E977" s="3">
        <v>28800000</v>
      </c>
    </row>
    <row r="978" spans="1:5" x14ac:dyDescent="0.3">
      <c r="A978" s="1">
        <v>44187</v>
      </c>
      <c r="B978" t="s">
        <v>75</v>
      </c>
      <c r="C978" t="s">
        <v>6</v>
      </c>
      <c r="D978" s="2">
        <v>60</v>
      </c>
      <c r="E978" s="3">
        <v>769560</v>
      </c>
    </row>
    <row r="979" spans="1:5" x14ac:dyDescent="0.3">
      <c r="A979" s="1">
        <v>44194</v>
      </c>
      <c r="B979" t="s">
        <v>31</v>
      </c>
      <c r="C979" t="s">
        <v>3</v>
      </c>
      <c r="D979" s="2">
        <v>2000</v>
      </c>
      <c r="E979" s="3">
        <v>24000000</v>
      </c>
    </row>
    <row r="980" spans="1:5" x14ac:dyDescent="0.3">
      <c r="A980" s="1">
        <v>44194</v>
      </c>
      <c r="B980" t="s">
        <v>36</v>
      </c>
      <c r="C980" t="s">
        <v>3</v>
      </c>
      <c r="D980" s="2">
        <v>1288</v>
      </c>
      <c r="E980" s="3">
        <v>15456000</v>
      </c>
    </row>
    <row r="981" spans="1:5" x14ac:dyDescent="0.3">
      <c r="A981" s="1">
        <v>44202</v>
      </c>
      <c r="B981" t="s">
        <v>69</v>
      </c>
      <c r="C981" t="s">
        <v>3</v>
      </c>
      <c r="D981" s="2">
        <v>36</v>
      </c>
      <c r="E981" s="3">
        <v>432000</v>
      </c>
    </row>
    <row r="982" spans="1:5" x14ac:dyDescent="0.3">
      <c r="A982" s="1">
        <v>44202</v>
      </c>
      <c r="B982" t="s">
        <v>69</v>
      </c>
      <c r="C982" t="s">
        <v>5</v>
      </c>
      <c r="D982" s="2">
        <v>25</v>
      </c>
      <c r="E982" s="3">
        <v>2154000</v>
      </c>
    </row>
    <row r="983" spans="1:5" x14ac:dyDescent="0.3">
      <c r="A983" s="1">
        <v>44202</v>
      </c>
      <c r="B983" t="s">
        <v>65</v>
      </c>
      <c r="C983" t="s">
        <v>3</v>
      </c>
      <c r="D983" s="2">
        <v>36</v>
      </c>
      <c r="E983" s="3">
        <v>432000</v>
      </c>
    </row>
    <row r="984" spans="1:5" x14ac:dyDescent="0.3">
      <c r="A984" s="1">
        <v>44202</v>
      </c>
      <c r="B984" t="s">
        <v>65</v>
      </c>
      <c r="C984" t="s">
        <v>5</v>
      </c>
      <c r="D984" s="2">
        <v>75</v>
      </c>
      <c r="E984" s="3">
        <v>6462000</v>
      </c>
    </row>
    <row r="985" spans="1:5" x14ac:dyDescent="0.3">
      <c r="A985" s="1">
        <v>44202</v>
      </c>
      <c r="B985" t="s">
        <v>65</v>
      </c>
      <c r="C985" t="s">
        <v>5</v>
      </c>
      <c r="D985" s="2">
        <v>40</v>
      </c>
      <c r="E985" s="3">
        <v>2806400</v>
      </c>
    </row>
    <row r="986" spans="1:5" x14ac:dyDescent="0.3">
      <c r="A986" s="1">
        <v>44202</v>
      </c>
      <c r="B986" t="s">
        <v>56</v>
      </c>
      <c r="C986" t="s">
        <v>3</v>
      </c>
      <c r="D986" s="2">
        <v>120</v>
      </c>
      <c r="E986" s="3">
        <v>1440000</v>
      </c>
    </row>
    <row r="987" spans="1:5" x14ac:dyDescent="0.3">
      <c r="A987" s="1">
        <v>44202</v>
      </c>
      <c r="B987" t="s">
        <v>56</v>
      </c>
      <c r="C987" t="s">
        <v>5</v>
      </c>
      <c r="D987" s="2">
        <v>75</v>
      </c>
      <c r="E987" s="3">
        <v>6462000</v>
      </c>
    </row>
    <row r="988" spans="1:5" x14ac:dyDescent="0.3">
      <c r="A988" s="1">
        <v>44202</v>
      </c>
      <c r="B988" t="s">
        <v>56</v>
      </c>
      <c r="C988" t="s">
        <v>4</v>
      </c>
      <c r="D988" s="2">
        <v>1500</v>
      </c>
      <c r="E988" s="3">
        <v>15850500</v>
      </c>
    </row>
    <row r="989" spans="1:5" x14ac:dyDescent="0.3">
      <c r="A989" s="1">
        <v>44207</v>
      </c>
      <c r="B989" t="s">
        <v>78</v>
      </c>
      <c r="C989" t="s">
        <v>3</v>
      </c>
      <c r="D989" s="2">
        <v>96</v>
      </c>
      <c r="E989" s="3">
        <v>1152000</v>
      </c>
    </row>
    <row r="990" spans="1:5" x14ac:dyDescent="0.3">
      <c r="A990" s="1">
        <v>44207</v>
      </c>
      <c r="B990" t="s">
        <v>78</v>
      </c>
      <c r="C990" t="s">
        <v>5</v>
      </c>
      <c r="D990" s="2">
        <v>40</v>
      </c>
      <c r="E990" s="3">
        <v>2806400</v>
      </c>
    </row>
    <row r="991" spans="1:5" x14ac:dyDescent="0.3">
      <c r="A991" s="1">
        <v>44207</v>
      </c>
      <c r="B991" t="s">
        <v>20</v>
      </c>
      <c r="C991" t="s">
        <v>4</v>
      </c>
      <c r="D991" s="2">
        <v>750</v>
      </c>
      <c r="E991" s="3">
        <v>7925250</v>
      </c>
    </row>
    <row r="992" spans="1:5" x14ac:dyDescent="0.3">
      <c r="A992" s="1">
        <v>44207</v>
      </c>
      <c r="B992" t="s">
        <v>25</v>
      </c>
      <c r="C992" t="s">
        <v>5</v>
      </c>
      <c r="D992" s="2">
        <v>150</v>
      </c>
      <c r="E992" s="3">
        <v>12924000</v>
      </c>
    </row>
    <row r="993" spans="1:5" x14ac:dyDescent="0.3">
      <c r="A993" s="1">
        <v>44207</v>
      </c>
      <c r="B993" t="s">
        <v>25</v>
      </c>
      <c r="C993" t="s">
        <v>5</v>
      </c>
      <c r="D993" s="2">
        <v>40</v>
      </c>
      <c r="E993" s="3">
        <v>2806400</v>
      </c>
    </row>
    <row r="994" spans="1:5" x14ac:dyDescent="0.3">
      <c r="A994" s="1">
        <v>44207</v>
      </c>
      <c r="B994" t="s">
        <v>25</v>
      </c>
      <c r="C994" t="s">
        <v>6</v>
      </c>
      <c r="D994" s="2">
        <v>60</v>
      </c>
      <c r="E994" s="3">
        <v>769560</v>
      </c>
    </row>
    <row r="995" spans="1:5" x14ac:dyDescent="0.3">
      <c r="A995" s="1">
        <v>44210</v>
      </c>
      <c r="B995" t="s">
        <v>156</v>
      </c>
      <c r="C995" t="s">
        <v>4</v>
      </c>
      <c r="D995" s="2">
        <v>2250</v>
      </c>
      <c r="E995" s="3">
        <v>24239250</v>
      </c>
    </row>
    <row r="996" spans="1:5" x14ac:dyDescent="0.3">
      <c r="A996" s="1">
        <v>44210</v>
      </c>
      <c r="B996" t="s">
        <v>141</v>
      </c>
      <c r="C996" t="s">
        <v>4</v>
      </c>
      <c r="D996" s="2">
        <v>300</v>
      </c>
      <c r="E996" s="3">
        <v>3231900</v>
      </c>
    </row>
    <row r="997" spans="1:5" x14ac:dyDescent="0.3">
      <c r="A997" s="1">
        <v>44210</v>
      </c>
      <c r="B997" t="s">
        <v>151</v>
      </c>
      <c r="C997" t="s">
        <v>4</v>
      </c>
      <c r="D997" s="2">
        <v>300</v>
      </c>
      <c r="E997" s="3">
        <v>3231900</v>
      </c>
    </row>
    <row r="998" spans="1:5" x14ac:dyDescent="0.3">
      <c r="A998" s="1">
        <v>44210</v>
      </c>
      <c r="B998" t="s">
        <v>126</v>
      </c>
      <c r="C998" t="s">
        <v>4</v>
      </c>
      <c r="D998" s="2">
        <v>600</v>
      </c>
      <c r="E998" s="3">
        <v>6463800</v>
      </c>
    </row>
    <row r="999" spans="1:5" x14ac:dyDescent="0.3">
      <c r="A999" s="1">
        <v>44210</v>
      </c>
      <c r="B999" t="s">
        <v>144</v>
      </c>
      <c r="C999" t="s">
        <v>4</v>
      </c>
      <c r="D999" s="2">
        <v>250</v>
      </c>
      <c r="E999" s="3">
        <v>2693250</v>
      </c>
    </row>
    <row r="1000" spans="1:5" x14ac:dyDescent="0.3">
      <c r="A1000" s="1">
        <v>44210</v>
      </c>
      <c r="B1000" t="s">
        <v>131</v>
      </c>
      <c r="C1000" t="s">
        <v>4</v>
      </c>
      <c r="D1000" s="2">
        <v>400</v>
      </c>
      <c r="E1000" s="3">
        <v>4309200</v>
      </c>
    </row>
    <row r="1001" spans="1:5" x14ac:dyDescent="0.3">
      <c r="A1001" s="1">
        <v>44210</v>
      </c>
      <c r="B1001" t="s">
        <v>132</v>
      </c>
      <c r="C1001" t="s">
        <v>4</v>
      </c>
      <c r="D1001" s="2">
        <v>250</v>
      </c>
      <c r="E1001" s="3">
        <v>2693250</v>
      </c>
    </row>
    <row r="1002" spans="1:5" x14ac:dyDescent="0.3">
      <c r="A1002" s="1">
        <v>44210</v>
      </c>
      <c r="B1002" t="s">
        <v>117</v>
      </c>
      <c r="C1002" t="s">
        <v>4</v>
      </c>
      <c r="D1002" s="2">
        <v>5000</v>
      </c>
      <c r="E1002" s="3">
        <v>53865000</v>
      </c>
    </row>
    <row r="1003" spans="1:5" x14ac:dyDescent="0.3">
      <c r="A1003" s="1">
        <v>44210</v>
      </c>
      <c r="B1003" t="s">
        <v>157</v>
      </c>
      <c r="C1003" t="s">
        <v>4</v>
      </c>
      <c r="D1003" s="2">
        <v>2000</v>
      </c>
      <c r="E1003" s="3">
        <v>21546000</v>
      </c>
    </row>
    <row r="1004" spans="1:5" x14ac:dyDescent="0.3">
      <c r="A1004" s="1">
        <v>44210</v>
      </c>
      <c r="B1004" t="s">
        <v>170</v>
      </c>
      <c r="C1004" t="s">
        <v>4</v>
      </c>
      <c r="D1004" s="2">
        <v>1000</v>
      </c>
      <c r="E1004" s="3">
        <v>10773000</v>
      </c>
    </row>
    <row r="1005" spans="1:5" x14ac:dyDescent="0.3">
      <c r="A1005" s="1">
        <v>44210</v>
      </c>
      <c r="B1005" t="s">
        <v>159</v>
      </c>
      <c r="C1005" t="s">
        <v>4</v>
      </c>
      <c r="D1005" s="2">
        <v>1500</v>
      </c>
      <c r="E1005" s="3">
        <v>16159500</v>
      </c>
    </row>
    <row r="1006" spans="1:5" x14ac:dyDescent="0.3">
      <c r="A1006" s="1">
        <v>44210</v>
      </c>
      <c r="B1006" t="s">
        <v>113</v>
      </c>
      <c r="C1006" t="s">
        <v>4</v>
      </c>
      <c r="D1006" s="2">
        <v>1500</v>
      </c>
      <c r="E1006" s="3">
        <v>16159500</v>
      </c>
    </row>
    <row r="1007" spans="1:5" x14ac:dyDescent="0.3">
      <c r="A1007" s="1">
        <v>44214</v>
      </c>
      <c r="B1007" t="s">
        <v>57</v>
      </c>
      <c r="C1007" t="s">
        <v>5</v>
      </c>
      <c r="D1007" s="2">
        <v>50</v>
      </c>
      <c r="E1007" s="3">
        <v>4308000</v>
      </c>
    </row>
    <row r="1008" spans="1:5" x14ac:dyDescent="0.3">
      <c r="A1008" s="1">
        <v>44214</v>
      </c>
      <c r="B1008" t="s">
        <v>31</v>
      </c>
      <c r="C1008" t="s">
        <v>6</v>
      </c>
      <c r="D1008" s="2">
        <v>108</v>
      </c>
      <c r="E1008" s="3">
        <v>1385208</v>
      </c>
    </row>
    <row r="1009" spans="1:5" x14ac:dyDescent="0.3">
      <c r="A1009" s="1">
        <v>44214</v>
      </c>
      <c r="B1009" t="s">
        <v>19</v>
      </c>
      <c r="C1009" t="s">
        <v>3</v>
      </c>
      <c r="D1009" s="2">
        <v>96</v>
      </c>
      <c r="E1009" s="3">
        <v>1152000</v>
      </c>
    </row>
    <row r="1010" spans="1:5" x14ac:dyDescent="0.3">
      <c r="A1010" s="1">
        <v>44214</v>
      </c>
      <c r="B1010" t="s">
        <v>51</v>
      </c>
      <c r="C1010" t="s">
        <v>7</v>
      </c>
      <c r="D1010" s="2">
        <v>20</v>
      </c>
      <c r="E1010" s="3">
        <v>166520</v>
      </c>
    </row>
    <row r="1011" spans="1:5" x14ac:dyDescent="0.3">
      <c r="A1011" s="1">
        <v>44216</v>
      </c>
      <c r="B1011" t="s">
        <v>70</v>
      </c>
      <c r="C1011" t="s">
        <v>5</v>
      </c>
      <c r="D1011" s="2">
        <v>200</v>
      </c>
      <c r="E1011" s="3">
        <v>14032000</v>
      </c>
    </row>
    <row r="1012" spans="1:5" x14ac:dyDescent="0.3">
      <c r="A1012" s="1">
        <v>44216</v>
      </c>
      <c r="B1012" t="s">
        <v>57</v>
      </c>
      <c r="C1012" t="s">
        <v>5</v>
      </c>
      <c r="D1012" s="2">
        <v>140</v>
      </c>
      <c r="E1012" s="3">
        <v>9822400</v>
      </c>
    </row>
    <row r="1013" spans="1:5" x14ac:dyDescent="0.3">
      <c r="A1013" s="1">
        <v>44218</v>
      </c>
      <c r="B1013" t="s">
        <v>79</v>
      </c>
      <c r="C1013" t="s">
        <v>6</v>
      </c>
      <c r="D1013" s="2">
        <v>204</v>
      </c>
      <c r="E1013" s="3">
        <v>2616504</v>
      </c>
    </row>
    <row r="1014" spans="1:5" x14ac:dyDescent="0.3">
      <c r="A1014" s="1">
        <v>44218</v>
      </c>
      <c r="B1014" t="s">
        <v>18</v>
      </c>
      <c r="C1014" t="s">
        <v>3</v>
      </c>
      <c r="D1014" s="2">
        <v>72</v>
      </c>
      <c r="E1014" s="3">
        <v>864000</v>
      </c>
    </row>
    <row r="1015" spans="1:5" x14ac:dyDescent="0.3">
      <c r="A1015" s="1">
        <v>44218</v>
      </c>
      <c r="B1015" t="s">
        <v>18</v>
      </c>
      <c r="C1015" t="s">
        <v>5</v>
      </c>
      <c r="D1015" s="2">
        <v>25</v>
      </c>
      <c r="E1015" s="3">
        <v>2154000</v>
      </c>
    </row>
    <row r="1016" spans="1:5" x14ac:dyDescent="0.3">
      <c r="A1016" s="1">
        <v>44218</v>
      </c>
      <c r="B1016" t="s">
        <v>72</v>
      </c>
      <c r="C1016" t="s">
        <v>3</v>
      </c>
      <c r="D1016" s="2">
        <v>72</v>
      </c>
      <c r="E1016" s="3">
        <v>864000</v>
      </c>
    </row>
    <row r="1017" spans="1:5" x14ac:dyDescent="0.3">
      <c r="A1017" s="1">
        <v>44218</v>
      </c>
      <c r="B1017" t="s">
        <v>92</v>
      </c>
      <c r="C1017" t="s">
        <v>6</v>
      </c>
      <c r="D1017" s="2">
        <v>204</v>
      </c>
      <c r="E1017" s="3">
        <v>2616504</v>
      </c>
    </row>
    <row r="1018" spans="1:5" x14ac:dyDescent="0.3">
      <c r="A1018" s="1">
        <v>44224</v>
      </c>
      <c r="B1018" t="s">
        <v>80</v>
      </c>
      <c r="C1018" t="s">
        <v>4</v>
      </c>
      <c r="D1018" s="2">
        <v>350</v>
      </c>
      <c r="E1018" s="3">
        <v>3699150</v>
      </c>
    </row>
    <row r="1019" spans="1:5" x14ac:dyDescent="0.3">
      <c r="A1019" s="1">
        <v>44224</v>
      </c>
      <c r="B1019" t="s">
        <v>12</v>
      </c>
      <c r="C1019" t="s">
        <v>4</v>
      </c>
      <c r="D1019" s="2">
        <v>350</v>
      </c>
      <c r="E1019" s="3">
        <v>3699150</v>
      </c>
    </row>
    <row r="1020" spans="1:5" x14ac:dyDescent="0.3">
      <c r="A1020" s="1">
        <v>44224</v>
      </c>
      <c r="B1020" t="s">
        <v>12</v>
      </c>
      <c r="C1020" t="s">
        <v>7</v>
      </c>
      <c r="D1020" s="2">
        <v>100</v>
      </c>
      <c r="E1020" s="3">
        <v>832600</v>
      </c>
    </row>
    <row r="1021" spans="1:5" x14ac:dyDescent="0.3">
      <c r="A1021" s="1">
        <v>44224</v>
      </c>
      <c r="B1021" t="s">
        <v>80</v>
      </c>
      <c r="C1021" t="s">
        <v>5</v>
      </c>
      <c r="D1021" s="2">
        <v>25</v>
      </c>
      <c r="E1021" s="3">
        <v>2154000</v>
      </c>
    </row>
    <row r="1022" spans="1:5" x14ac:dyDescent="0.3">
      <c r="A1022" s="1">
        <v>44224</v>
      </c>
      <c r="B1022" t="s">
        <v>80</v>
      </c>
      <c r="C1022" t="s">
        <v>3</v>
      </c>
      <c r="D1022" s="2">
        <v>96</v>
      </c>
      <c r="E1022" s="3">
        <v>1152000</v>
      </c>
    </row>
    <row r="1023" spans="1:5" x14ac:dyDescent="0.3">
      <c r="A1023" s="1">
        <v>44224</v>
      </c>
      <c r="B1023" t="s">
        <v>140</v>
      </c>
      <c r="C1023" t="s">
        <v>6</v>
      </c>
      <c r="D1023" s="2">
        <v>96</v>
      </c>
      <c r="E1023" s="3">
        <v>1231296</v>
      </c>
    </row>
    <row r="1024" spans="1:5" x14ac:dyDescent="0.3">
      <c r="A1024" s="1">
        <v>44228</v>
      </c>
      <c r="B1024" t="s">
        <v>127</v>
      </c>
      <c r="C1024" t="s">
        <v>6</v>
      </c>
      <c r="D1024" s="2">
        <v>1008</v>
      </c>
      <c r="E1024" s="3">
        <v>12928608</v>
      </c>
    </row>
    <row r="1025" spans="1:5" x14ac:dyDescent="0.3">
      <c r="A1025" s="1">
        <v>44228</v>
      </c>
      <c r="B1025" t="s">
        <v>127</v>
      </c>
      <c r="C1025" t="s">
        <v>5</v>
      </c>
      <c r="D1025" s="2">
        <v>25</v>
      </c>
      <c r="E1025" s="3">
        <v>2154000</v>
      </c>
    </row>
    <row r="1026" spans="1:5" x14ac:dyDescent="0.3">
      <c r="A1026" s="1">
        <v>44228</v>
      </c>
      <c r="B1026" t="s">
        <v>127</v>
      </c>
      <c r="C1026" t="s">
        <v>3</v>
      </c>
      <c r="D1026" s="2">
        <v>360</v>
      </c>
      <c r="E1026" s="3">
        <v>4320000</v>
      </c>
    </row>
    <row r="1027" spans="1:5" x14ac:dyDescent="0.3">
      <c r="A1027" s="1">
        <v>44229</v>
      </c>
      <c r="B1027" t="s">
        <v>94</v>
      </c>
      <c r="C1027" t="s">
        <v>4</v>
      </c>
      <c r="D1027" s="2">
        <v>1750</v>
      </c>
      <c r="E1027" s="3">
        <v>18856250</v>
      </c>
    </row>
    <row r="1028" spans="1:5" x14ac:dyDescent="0.3">
      <c r="A1028" s="1">
        <v>44229</v>
      </c>
      <c r="B1028" t="s">
        <v>80</v>
      </c>
      <c r="C1028" t="s">
        <v>6</v>
      </c>
      <c r="D1028" s="2">
        <v>960</v>
      </c>
      <c r="E1028" s="3">
        <v>12312960</v>
      </c>
    </row>
    <row r="1029" spans="1:5" x14ac:dyDescent="0.3">
      <c r="A1029" s="1">
        <v>44230</v>
      </c>
      <c r="B1029" t="s">
        <v>77</v>
      </c>
      <c r="C1029" t="s">
        <v>6</v>
      </c>
      <c r="D1029" s="2">
        <v>1200</v>
      </c>
      <c r="E1029" s="3">
        <v>15391200</v>
      </c>
    </row>
    <row r="1030" spans="1:5" x14ac:dyDescent="0.3">
      <c r="A1030" s="1">
        <v>44232</v>
      </c>
      <c r="B1030" t="s">
        <v>12</v>
      </c>
      <c r="C1030" t="s">
        <v>3</v>
      </c>
      <c r="D1030" s="2">
        <v>1000</v>
      </c>
      <c r="E1030" s="3">
        <v>12000000</v>
      </c>
    </row>
    <row r="1031" spans="1:5" x14ac:dyDescent="0.3">
      <c r="A1031" s="1">
        <v>44232</v>
      </c>
      <c r="B1031" t="s">
        <v>31</v>
      </c>
      <c r="C1031" t="s">
        <v>5</v>
      </c>
      <c r="D1031" s="2">
        <v>50</v>
      </c>
      <c r="E1031" s="3">
        <v>4308000</v>
      </c>
    </row>
    <row r="1032" spans="1:5" x14ac:dyDescent="0.3">
      <c r="A1032" s="1">
        <v>44232</v>
      </c>
      <c r="B1032" t="s">
        <v>31</v>
      </c>
      <c r="C1032" t="s">
        <v>6</v>
      </c>
      <c r="D1032" s="2">
        <v>832</v>
      </c>
      <c r="E1032" s="3">
        <v>10671232</v>
      </c>
    </row>
    <row r="1033" spans="1:5" x14ac:dyDescent="0.3">
      <c r="A1033" s="1">
        <v>44232</v>
      </c>
      <c r="B1033" t="s">
        <v>31</v>
      </c>
      <c r="C1033" t="s">
        <v>4</v>
      </c>
      <c r="D1033" s="2">
        <v>800</v>
      </c>
      <c r="E1033" s="3">
        <v>8455200</v>
      </c>
    </row>
    <row r="1034" spans="1:5" x14ac:dyDescent="0.3">
      <c r="A1034" s="1">
        <v>44232</v>
      </c>
      <c r="B1034" t="s">
        <v>12</v>
      </c>
      <c r="C1034" t="s">
        <v>7</v>
      </c>
      <c r="D1034" s="2">
        <v>80</v>
      </c>
      <c r="E1034" s="3">
        <v>666080</v>
      </c>
    </row>
    <row r="1035" spans="1:5" x14ac:dyDescent="0.3">
      <c r="A1035" s="1">
        <v>44237</v>
      </c>
      <c r="B1035" t="s">
        <v>20</v>
      </c>
      <c r="C1035" t="s">
        <v>3</v>
      </c>
      <c r="D1035" s="2">
        <v>440</v>
      </c>
      <c r="E1035" s="3">
        <v>5280000</v>
      </c>
    </row>
    <row r="1036" spans="1:5" x14ac:dyDescent="0.3">
      <c r="A1036" s="1">
        <v>44243</v>
      </c>
      <c r="B1036" t="s">
        <v>105</v>
      </c>
      <c r="C1036" t="s">
        <v>3</v>
      </c>
      <c r="D1036" s="2">
        <v>360</v>
      </c>
      <c r="E1036" s="3">
        <v>4320000</v>
      </c>
    </row>
    <row r="1037" spans="1:5" x14ac:dyDescent="0.3">
      <c r="A1037" s="1">
        <v>44243</v>
      </c>
      <c r="B1037" t="s">
        <v>36</v>
      </c>
      <c r="C1037" t="s">
        <v>7</v>
      </c>
      <c r="D1037" s="2">
        <v>100</v>
      </c>
      <c r="E1037" s="3">
        <v>887600</v>
      </c>
    </row>
    <row r="1038" spans="1:5" x14ac:dyDescent="0.3">
      <c r="A1038" s="1">
        <v>44243</v>
      </c>
      <c r="B1038" t="s">
        <v>65</v>
      </c>
      <c r="C1038" t="s">
        <v>5</v>
      </c>
      <c r="D1038" s="2">
        <v>100</v>
      </c>
      <c r="E1038" s="3">
        <v>8616000</v>
      </c>
    </row>
    <row r="1039" spans="1:5" x14ac:dyDescent="0.3">
      <c r="A1039" s="1">
        <v>44243</v>
      </c>
      <c r="B1039" t="s">
        <v>157</v>
      </c>
      <c r="C1039" t="s">
        <v>4</v>
      </c>
      <c r="D1039" s="2">
        <v>2000</v>
      </c>
      <c r="E1039" s="3">
        <v>21550000</v>
      </c>
    </row>
    <row r="1040" spans="1:5" x14ac:dyDescent="0.3">
      <c r="A1040" s="1">
        <v>44243</v>
      </c>
      <c r="B1040" t="s">
        <v>96</v>
      </c>
      <c r="C1040" t="s">
        <v>4</v>
      </c>
      <c r="D1040" s="2">
        <v>2000</v>
      </c>
      <c r="E1040" s="3">
        <v>21550000</v>
      </c>
    </row>
    <row r="1041" spans="1:5" x14ac:dyDescent="0.3">
      <c r="A1041" s="1">
        <v>44243</v>
      </c>
      <c r="B1041" t="s">
        <v>84</v>
      </c>
      <c r="C1041" t="s">
        <v>4</v>
      </c>
      <c r="D1041" s="2">
        <v>500</v>
      </c>
      <c r="E1041" s="3">
        <v>5387500</v>
      </c>
    </row>
    <row r="1042" spans="1:5" x14ac:dyDescent="0.3">
      <c r="A1042" s="1">
        <v>44243</v>
      </c>
      <c r="B1042" t="s">
        <v>103</v>
      </c>
      <c r="C1042" t="s">
        <v>4</v>
      </c>
      <c r="D1042" s="2">
        <v>6000</v>
      </c>
      <c r="E1042" s="3">
        <v>64650000</v>
      </c>
    </row>
    <row r="1043" spans="1:5" x14ac:dyDescent="0.3">
      <c r="A1043" s="1">
        <v>44243</v>
      </c>
      <c r="B1043" t="s">
        <v>85</v>
      </c>
      <c r="C1043" t="s">
        <v>4</v>
      </c>
      <c r="D1043" s="2">
        <v>1000</v>
      </c>
      <c r="E1043" s="3">
        <v>10775000</v>
      </c>
    </row>
    <row r="1044" spans="1:5" x14ac:dyDescent="0.3">
      <c r="A1044" s="1">
        <v>44243</v>
      </c>
      <c r="B1044" t="s">
        <v>117</v>
      </c>
      <c r="C1044" t="s">
        <v>4</v>
      </c>
      <c r="D1044" s="2">
        <v>3000</v>
      </c>
      <c r="E1044" s="3">
        <v>32325000</v>
      </c>
    </row>
    <row r="1045" spans="1:5" x14ac:dyDescent="0.3">
      <c r="A1045" s="1">
        <v>44243</v>
      </c>
      <c r="B1045" t="s">
        <v>36</v>
      </c>
      <c r="C1045" t="s">
        <v>4</v>
      </c>
      <c r="D1045" s="2">
        <v>1000</v>
      </c>
      <c r="E1045" s="3">
        <v>10569000</v>
      </c>
    </row>
    <row r="1046" spans="1:5" x14ac:dyDescent="0.3">
      <c r="A1046" s="1">
        <v>44244</v>
      </c>
      <c r="B1046" t="s">
        <v>151</v>
      </c>
      <c r="C1046" t="s">
        <v>4</v>
      </c>
      <c r="D1046" s="2">
        <v>300</v>
      </c>
      <c r="E1046" s="3">
        <v>3232500</v>
      </c>
    </row>
    <row r="1047" spans="1:5" x14ac:dyDescent="0.3">
      <c r="A1047" s="1">
        <v>44244</v>
      </c>
      <c r="B1047" t="s">
        <v>124</v>
      </c>
      <c r="C1047" t="s">
        <v>4</v>
      </c>
      <c r="D1047" s="2">
        <v>1000</v>
      </c>
      <c r="E1047" s="3">
        <v>10775000</v>
      </c>
    </row>
    <row r="1048" spans="1:5" x14ac:dyDescent="0.3">
      <c r="A1048" s="1">
        <v>44244</v>
      </c>
      <c r="B1048" t="s">
        <v>142</v>
      </c>
      <c r="C1048" t="s">
        <v>4</v>
      </c>
      <c r="D1048" s="2">
        <v>2000</v>
      </c>
      <c r="E1048" s="3">
        <v>21550000</v>
      </c>
    </row>
    <row r="1049" spans="1:5" x14ac:dyDescent="0.3">
      <c r="A1049" s="1">
        <v>44244</v>
      </c>
      <c r="B1049" t="s">
        <v>126</v>
      </c>
      <c r="C1049" t="s">
        <v>4</v>
      </c>
      <c r="D1049" s="2">
        <v>700</v>
      </c>
      <c r="E1049" s="3">
        <v>7542500</v>
      </c>
    </row>
    <row r="1050" spans="1:5" x14ac:dyDescent="0.3">
      <c r="A1050" s="1">
        <v>44244</v>
      </c>
      <c r="B1050" t="s">
        <v>133</v>
      </c>
      <c r="C1050" t="s">
        <v>4</v>
      </c>
      <c r="D1050" s="2">
        <v>400</v>
      </c>
      <c r="E1050" s="3">
        <v>4310000</v>
      </c>
    </row>
    <row r="1051" spans="1:5" x14ac:dyDescent="0.3">
      <c r="A1051" s="1">
        <v>44244</v>
      </c>
      <c r="B1051" t="s">
        <v>146</v>
      </c>
      <c r="C1051" t="s">
        <v>4</v>
      </c>
      <c r="D1051" s="2">
        <v>500</v>
      </c>
      <c r="E1051" s="3">
        <v>5387500</v>
      </c>
    </row>
    <row r="1052" spans="1:5" x14ac:dyDescent="0.3">
      <c r="A1052" s="1">
        <v>44244</v>
      </c>
      <c r="B1052" t="s">
        <v>168</v>
      </c>
      <c r="C1052" t="s">
        <v>4</v>
      </c>
      <c r="D1052" s="2">
        <v>3000</v>
      </c>
      <c r="E1052" s="3">
        <v>32325000</v>
      </c>
    </row>
    <row r="1053" spans="1:5" x14ac:dyDescent="0.3">
      <c r="A1053" s="1">
        <v>44244</v>
      </c>
      <c r="B1053" t="s">
        <v>135</v>
      </c>
      <c r="C1053" t="s">
        <v>4</v>
      </c>
      <c r="D1053" s="2">
        <v>230</v>
      </c>
      <c r="E1053" s="3">
        <v>2478250</v>
      </c>
    </row>
    <row r="1054" spans="1:5" x14ac:dyDescent="0.3">
      <c r="A1054" s="1">
        <v>44244</v>
      </c>
      <c r="B1054" t="s">
        <v>125</v>
      </c>
      <c r="C1054" t="s">
        <v>4</v>
      </c>
      <c r="D1054" s="2">
        <v>320</v>
      </c>
      <c r="E1054" s="3">
        <v>3448000</v>
      </c>
    </row>
    <row r="1055" spans="1:5" x14ac:dyDescent="0.3">
      <c r="A1055" s="1">
        <v>44244</v>
      </c>
      <c r="B1055" t="s">
        <v>141</v>
      </c>
      <c r="C1055" t="s">
        <v>4</v>
      </c>
      <c r="D1055" s="2">
        <v>300</v>
      </c>
      <c r="E1055" s="3">
        <v>3232500</v>
      </c>
    </row>
    <row r="1056" spans="1:5" x14ac:dyDescent="0.3">
      <c r="A1056" s="1">
        <v>44246</v>
      </c>
      <c r="B1056" t="s">
        <v>76</v>
      </c>
      <c r="C1056" t="s">
        <v>4</v>
      </c>
      <c r="D1056" s="2">
        <v>500</v>
      </c>
      <c r="E1056" s="3">
        <v>5284500</v>
      </c>
    </row>
    <row r="1057" spans="1:5" x14ac:dyDescent="0.3">
      <c r="A1057" s="1">
        <v>44246</v>
      </c>
      <c r="B1057" t="s">
        <v>76</v>
      </c>
      <c r="C1057" t="s">
        <v>5</v>
      </c>
      <c r="D1057" s="2">
        <v>100</v>
      </c>
      <c r="E1057" s="3">
        <v>8616000</v>
      </c>
    </row>
    <row r="1058" spans="1:5" x14ac:dyDescent="0.3">
      <c r="A1058" s="1">
        <v>44249</v>
      </c>
      <c r="B1058" t="s">
        <v>70</v>
      </c>
      <c r="C1058" t="s">
        <v>5</v>
      </c>
      <c r="D1058" s="2">
        <v>80</v>
      </c>
      <c r="E1058" s="3">
        <v>5612800</v>
      </c>
    </row>
    <row r="1059" spans="1:5" x14ac:dyDescent="0.3">
      <c r="A1059" s="1">
        <v>44249</v>
      </c>
      <c r="B1059" t="s">
        <v>92</v>
      </c>
      <c r="C1059" t="s">
        <v>3</v>
      </c>
      <c r="D1059" s="2">
        <v>1120</v>
      </c>
      <c r="E1059" s="3">
        <v>13440000</v>
      </c>
    </row>
    <row r="1060" spans="1:5" x14ac:dyDescent="0.3">
      <c r="A1060" s="1">
        <v>44250</v>
      </c>
      <c r="B1060" t="s">
        <v>173</v>
      </c>
      <c r="C1060" t="s">
        <v>4</v>
      </c>
      <c r="D1060" s="2">
        <v>6000</v>
      </c>
      <c r="E1060" s="3">
        <v>64650000</v>
      </c>
    </row>
    <row r="1061" spans="1:5" x14ac:dyDescent="0.3">
      <c r="A1061" s="1">
        <v>44250</v>
      </c>
      <c r="B1061" t="s">
        <v>103</v>
      </c>
      <c r="C1061" t="s">
        <v>4</v>
      </c>
      <c r="D1061" s="2">
        <v>6000</v>
      </c>
      <c r="E1061" s="3">
        <v>64650000</v>
      </c>
    </row>
    <row r="1062" spans="1:5" x14ac:dyDescent="0.3">
      <c r="A1062" s="1">
        <v>44250</v>
      </c>
      <c r="B1062" t="s">
        <v>117</v>
      </c>
      <c r="C1062" t="s">
        <v>4</v>
      </c>
      <c r="D1062" s="2">
        <v>3500</v>
      </c>
      <c r="E1062" s="3">
        <v>37712500</v>
      </c>
    </row>
    <row r="1063" spans="1:5" x14ac:dyDescent="0.3">
      <c r="A1063" s="1">
        <v>44250</v>
      </c>
      <c r="B1063" t="s">
        <v>136</v>
      </c>
      <c r="C1063" t="s">
        <v>4</v>
      </c>
      <c r="D1063" s="2">
        <v>500</v>
      </c>
      <c r="E1063" s="3">
        <v>5387500</v>
      </c>
    </row>
    <row r="1064" spans="1:5" x14ac:dyDescent="0.3">
      <c r="A1064" s="1">
        <v>44250</v>
      </c>
      <c r="B1064" t="s">
        <v>156</v>
      </c>
      <c r="C1064" t="s">
        <v>4</v>
      </c>
      <c r="D1064" s="2">
        <v>1250</v>
      </c>
      <c r="E1064" s="3">
        <v>13468750</v>
      </c>
    </row>
    <row r="1065" spans="1:5" x14ac:dyDescent="0.3">
      <c r="A1065" s="1">
        <v>44250</v>
      </c>
      <c r="B1065" t="s">
        <v>180</v>
      </c>
      <c r="C1065" t="s">
        <v>4</v>
      </c>
      <c r="D1065" s="2">
        <v>2350</v>
      </c>
      <c r="E1065" s="3">
        <v>25321250</v>
      </c>
    </row>
    <row r="1066" spans="1:5" x14ac:dyDescent="0.3">
      <c r="A1066" s="1">
        <v>44252</v>
      </c>
      <c r="B1066" t="s">
        <v>50</v>
      </c>
      <c r="C1066" t="s">
        <v>5</v>
      </c>
      <c r="D1066" s="2">
        <v>80</v>
      </c>
      <c r="E1066" s="3">
        <v>6892800</v>
      </c>
    </row>
    <row r="1067" spans="1:5" x14ac:dyDescent="0.3">
      <c r="A1067" s="1">
        <v>44257</v>
      </c>
      <c r="B1067" t="s">
        <v>95</v>
      </c>
      <c r="C1067" t="s">
        <v>7</v>
      </c>
      <c r="D1067" s="2">
        <v>100</v>
      </c>
      <c r="E1067" s="3">
        <v>887600</v>
      </c>
    </row>
    <row r="1068" spans="1:5" x14ac:dyDescent="0.3">
      <c r="A1068" s="1">
        <v>44257</v>
      </c>
      <c r="B1068" t="s">
        <v>42</v>
      </c>
      <c r="C1068" t="s">
        <v>4</v>
      </c>
      <c r="D1068" s="2">
        <v>400</v>
      </c>
      <c r="E1068" s="3">
        <v>4227600</v>
      </c>
    </row>
    <row r="1069" spans="1:5" x14ac:dyDescent="0.3">
      <c r="A1069" s="1">
        <v>44257</v>
      </c>
      <c r="B1069" t="s">
        <v>38</v>
      </c>
      <c r="C1069" t="s">
        <v>3</v>
      </c>
      <c r="D1069" s="2">
        <v>200</v>
      </c>
      <c r="E1069" s="3">
        <v>2400000</v>
      </c>
    </row>
    <row r="1070" spans="1:5" x14ac:dyDescent="0.3">
      <c r="A1070" s="1">
        <v>44257</v>
      </c>
      <c r="B1070" t="s">
        <v>25</v>
      </c>
      <c r="C1070" t="s">
        <v>5</v>
      </c>
      <c r="D1070" s="2">
        <v>100</v>
      </c>
      <c r="E1070" s="3">
        <v>8616000</v>
      </c>
    </row>
    <row r="1071" spans="1:5" x14ac:dyDescent="0.3">
      <c r="A1071" s="1">
        <v>44258</v>
      </c>
      <c r="B1071" t="s">
        <v>50</v>
      </c>
      <c r="C1071" t="s">
        <v>5</v>
      </c>
      <c r="D1071" s="2">
        <v>80</v>
      </c>
      <c r="E1071" s="3">
        <v>5612800</v>
      </c>
    </row>
    <row r="1072" spans="1:5" x14ac:dyDescent="0.3">
      <c r="A1072" s="1">
        <v>44258</v>
      </c>
      <c r="B1072" t="s">
        <v>50</v>
      </c>
      <c r="C1072" t="s">
        <v>4</v>
      </c>
      <c r="D1072" s="2">
        <v>500</v>
      </c>
      <c r="E1072" s="3">
        <v>5284500</v>
      </c>
    </row>
    <row r="1073" spans="1:5" x14ac:dyDescent="0.3">
      <c r="A1073" s="1">
        <v>44264</v>
      </c>
      <c r="B1073" t="s">
        <v>146</v>
      </c>
      <c r="C1073" t="s">
        <v>5</v>
      </c>
      <c r="D1073" s="2">
        <v>60</v>
      </c>
      <c r="E1073" s="3">
        <v>5169600</v>
      </c>
    </row>
    <row r="1074" spans="1:5" x14ac:dyDescent="0.3">
      <c r="A1074" s="1">
        <v>44264</v>
      </c>
      <c r="B1074" t="s">
        <v>146</v>
      </c>
      <c r="C1074" t="s">
        <v>4</v>
      </c>
      <c r="D1074" s="2">
        <v>320</v>
      </c>
      <c r="E1074" s="3">
        <v>3382080</v>
      </c>
    </row>
    <row r="1075" spans="1:5" x14ac:dyDescent="0.3">
      <c r="A1075" s="1">
        <v>44264</v>
      </c>
      <c r="B1075" t="s">
        <v>146</v>
      </c>
      <c r="C1075" t="s">
        <v>7</v>
      </c>
      <c r="D1075" s="2">
        <v>102</v>
      </c>
      <c r="E1075" s="3">
        <v>905352</v>
      </c>
    </row>
    <row r="1076" spans="1:5" x14ac:dyDescent="0.3">
      <c r="A1076" s="1">
        <v>44264</v>
      </c>
      <c r="B1076" t="s">
        <v>146</v>
      </c>
      <c r="C1076" t="s">
        <v>3</v>
      </c>
      <c r="D1076" s="2">
        <v>32</v>
      </c>
      <c r="E1076" s="3">
        <v>384000</v>
      </c>
    </row>
    <row r="1077" spans="1:5" x14ac:dyDescent="0.3">
      <c r="A1077" s="1">
        <v>44273</v>
      </c>
      <c r="B1077" t="s">
        <v>27</v>
      </c>
      <c r="C1077" t="s">
        <v>5</v>
      </c>
      <c r="D1077" s="2">
        <v>35</v>
      </c>
      <c r="E1077" s="3">
        <v>3015600</v>
      </c>
    </row>
    <row r="1078" spans="1:5" x14ac:dyDescent="0.3">
      <c r="A1078" s="1">
        <v>44273</v>
      </c>
      <c r="B1078" t="s">
        <v>27</v>
      </c>
      <c r="C1078" t="s">
        <v>4</v>
      </c>
      <c r="D1078" s="2">
        <v>50</v>
      </c>
      <c r="E1078" s="3">
        <v>528450</v>
      </c>
    </row>
    <row r="1079" spans="1:5" x14ac:dyDescent="0.3">
      <c r="A1079" s="1">
        <v>44273</v>
      </c>
      <c r="B1079" t="s">
        <v>12</v>
      </c>
      <c r="C1079" t="s">
        <v>5</v>
      </c>
      <c r="D1079" s="2">
        <v>50</v>
      </c>
      <c r="E1079" s="3">
        <v>3508000</v>
      </c>
    </row>
    <row r="1080" spans="1:5" x14ac:dyDescent="0.3">
      <c r="A1080" s="1">
        <v>44273</v>
      </c>
      <c r="B1080" t="s">
        <v>15</v>
      </c>
      <c r="C1080" t="s">
        <v>3</v>
      </c>
      <c r="D1080" s="2">
        <v>200</v>
      </c>
      <c r="E1080" s="3">
        <v>2400000</v>
      </c>
    </row>
    <row r="1081" spans="1:5" x14ac:dyDescent="0.3">
      <c r="A1081" s="1">
        <v>44273</v>
      </c>
      <c r="B1081" t="s">
        <v>15</v>
      </c>
      <c r="C1081" t="s">
        <v>4</v>
      </c>
      <c r="D1081" s="2">
        <v>100</v>
      </c>
      <c r="E1081" s="3">
        <v>1056900</v>
      </c>
    </row>
    <row r="1082" spans="1:5" x14ac:dyDescent="0.3">
      <c r="A1082" s="1">
        <v>44274</v>
      </c>
      <c r="B1082" t="s">
        <v>134</v>
      </c>
      <c r="C1082" t="s">
        <v>4</v>
      </c>
      <c r="D1082" s="2">
        <v>100</v>
      </c>
      <c r="E1082" s="3">
        <v>1056900</v>
      </c>
    </row>
    <row r="1083" spans="1:5" x14ac:dyDescent="0.3">
      <c r="A1083" s="1">
        <v>44274</v>
      </c>
      <c r="B1083" t="s">
        <v>20</v>
      </c>
      <c r="C1083" t="s">
        <v>5</v>
      </c>
      <c r="D1083" s="2">
        <v>40</v>
      </c>
      <c r="E1083" s="3">
        <v>2806400</v>
      </c>
    </row>
    <row r="1084" spans="1:5" x14ac:dyDescent="0.3">
      <c r="A1084" s="1">
        <v>44274</v>
      </c>
      <c r="B1084" t="s">
        <v>20</v>
      </c>
      <c r="C1084" t="s">
        <v>4</v>
      </c>
      <c r="D1084" s="2">
        <v>40</v>
      </c>
      <c r="E1084" s="3">
        <v>666400</v>
      </c>
    </row>
    <row r="1085" spans="1:5" x14ac:dyDescent="0.3">
      <c r="A1085" s="1">
        <v>44274</v>
      </c>
      <c r="B1085" t="s">
        <v>134</v>
      </c>
      <c r="C1085" t="s">
        <v>5</v>
      </c>
      <c r="D1085" s="2">
        <v>25</v>
      </c>
      <c r="E1085" s="3">
        <v>2154000</v>
      </c>
    </row>
    <row r="1086" spans="1:5" x14ac:dyDescent="0.3">
      <c r="A1086" s="1">
        <v>44277</v>
      </c>
      <c r="B1086" t="s">
        <v>56</v>
      </c>
      <c r="C1086" t="s">
        <v>4</v>
      </c>
      <c r="D1086" s="2">
        <v>250</v>
      </c>
      <c r="E1086" s="3">
        <v>2642250</v>
      </c>
    </row>
    <row r="1087" spans="1:5" x14ac:dyDescent="0.3">
      <c r="A1087" s="1">
        <v>44277</v>
      </c>
      <c r="B1087" t="s">
        <v>31</v>
      </c>
      <c r="C1087" t="s">
        <v>5</v>
      </c>
      <c r="D1087" s="2">
        <v>25</v>
      </c>
      <c r="E1087" s="3">
        <v>2154000</v>
      </c>
    </row>
    <row r="1088" spans="1:5" x14ac:dyDescent="0.3">
      <c r="A1088" s="1">
        <v>44277</v>
      </c>
      <c r="B1088" t="s">
        <v>31</v>
      </c>
      <c r="C1088" t="s">
        <v>5</v>
      </c>
      <c r="D1088" s="2">
        <v>20</v>
      </c>
      <c r="E1088" s="3">
        <v>1403200</v>
      </c>
    </row>
    <row r="1089" spans="1:5" x14ac:dyDescent="0.3">
      <c r="A1089" s="1">
        <v>44277</v>
      </c>
      <c r="B1089" t="s">
        <v>105</v>
      </c>
      <c r="C1089" t="s">
        <v>3</v>
      </c>
      <c r="D1089" s="2">
        <v>200</v>
      </c>
      <c r="E1089" s="3">
        <v>2400000</v>
      </c>
    </row>
    <row r="1090" spans="1:5" x14ac:dyDescent="0.3">
      <c r="A1090" s="1">
        <v>44277</v>
      </c>
      <c r="B1090" t="s">
        <v>105</v>
      </c>
      <c r="C1090" t="s">
        <v>4</v>
      </c>
      <c r="D1090" s="2">
        <v>100</v>
      </c>
      <c r="E1090" s="3">
        <v>1056900</v>
      </c>
    </row>
    <row r="1091" spans="1:5" x14ac:dyDescent="0.3">
      <c r="A1091" s="1">
        <v>44277</v>
      </c>
      <c r="B1091" t="s">
        <v>56</v>
      </c>
      <c r="C1091" t="s">
        <v>5</v>
      </c>
      <c r="D1091" s="2">
        <v>10</v>
      </c>
      <c r="E1091" s="3">
        <v>701600</v>
      </c>
    </row>
    <row r="1092" spans="1:5" x14ac:dyDescent="0.3">
      <c r="A1092" s="1">
        <v>44278</v>
      </c>
      <c r="B1092" t="s">
        <v>36</v>
      </c>
      <c r="C1092" t="s">
        <v>5</v>
      </c>
      <c r="D1092" s="2">
        <v>35</v>
      </c>
      <c r="E1092" s="3">
        <v>3015600</v>
      </c>
    </row>
    <row r="1093" spans="1:5" x14ac:dyDescent="0.3">
      <c r="A1093" s="1">
        <v>44278</v>
      </c>
      <c r="B1093" t="s">
        <v>51</v>
      </c>
      <c r="C1093" t="s">
        <v>5</v>
      </c>
      <c r="D1093" s="2">
        <v>35</v>
      </c>
      <c r="E1093" s="3">
        <v>3015600</v>
      </c>
    </row>
    <row r="1094" spans="1:5" x14ac:dyDescent="0.3">
      <c r="A1094" s="1">
        <v>44278</v>
      </c>
      <c r="B1094" t="s">
        <v>36</v>
      </c>
      <c r="C1094" t="s">
        <v>7</v>
      </c>
      <c r="D1094" s="2">
        <v>50</v>
      </c>
      <c r="E1094" s="3">
        <v>443800</v>
      </c>
    </row>
    <row r="1095" spans="1:5" x14ac:dyDescent="0.3">
      <c r="A1095" s="1">
        <v>44278</v>
      </c>
      <c r="B1095" t="s">
        <v>57</v>
      </c>
      <c r="C1095" t="s">
        <v>7</v>
      </c>
      <c r="D1095" s="2">
        <v>60</v>
      </c>
      <c r="E1095" s="3">
        <v>532560</v>
      </c>
    </row>
    <row r="1096" spans="1:5" x14ac:dyDescent="0.3">
      <c r="A1096" s="1">
        <v>44278</v>
      </c>
      <c r="B1096" t="s">
        <v>57</v>
      </c>
      <c r="C1096" t="s">
        <v>5</v>
      </c>
      <c r="D1096" s="2">
        <v>35</v>
      </c>
      <c r="E1096" s="3">
        <v>3015600</v>
      </c>
    </row>
    <row r="1097" spans="1:5" x14ac:dyDescent="0.3">
      <c r="A1097" s="1">
        <v>44278</v>
      </c>
      <c r="B1097" t="s">
        <v>26</v>
      </c>
      <c r="C1097" t="s">
        <v>7</v>
      </c>
      <c r="D1097" s="2">
        <v>38</v>
      </c>
      <c r="E1097" s="3">
        <v>337288</v>
      </c>
    </row>
    <row r="1098" spans="1:5" x14ac:dyDescent="0.3">
      <c r="A1098" s="1">
        <v>44278</v>
      </c>
      <c r="B1098" t="s">
        <v>26</v>
      </c>
      <c r="C1098" t="s">
        <v>5</v>
      </c>
      <c r="D1098" s="2">
        <v>35</v>
      </c>
      <c r="E1098" s="3">
        <v>3015600</v>
      </c>
    </row>
    <row r="1099" spans="1:5" x14ac:dyDescent="0.3">
      <c r="A1099" s="1">
        <v>44278</v>
      </c>
      <c r="B1099" t="s">
        <v>51</v>
      </c>
      <c r="C1099" t="s">
        <v>7</v>
      </c>
      <c r="D1099" s="2">
        <v>50</v>
      </c>
      <c r="E1099" s="3">
        <v>443800</v>
      </c>
    </row>
    <row r="1100" spans="1:5" x14ac:dyDescent="0.3">
      <c r="A1100" s="1">
        <v>44280</v>
      </c>
      <c r="B1100" t="s">
        <v>80</v>
      </c>
      <c r="C1100" t="s">
        <v>3</v>
      </c>
      <c r="D1100" s="2">
        <v>160</v>
      </c>
      <c r="E1100" s="3">
        <v>1920000</v>
      </c>
    </row>
    <row r="1101" spans="1:5" x14ac:dyDescent="0.3">
      <c r="A1101" s="1">
        <v>44280</v>
      </c>
      <c r="B1101" t="s">
        <v>65</v>
      </c>
      <c r="C1101" t="s">
        <v>5</v>
      </c>
      <c r="D1101" s="2">
        <v>60</v>
      </c>
      <c r="E1101" s="3">
        <v>5169600</v>
      </c>
    </row>
    <row r="1102" spans="1:5" x14ac:dyDescent="0.3">
      <c r="A1102" s="1">
        <v>44280</v>
      </c>
      <c r="B1102" t="s">
        <v>80</v>
      </c>
      <c r="C1102" t="s">
        <v>5</v>
      </c>
      <c r="D1102" s="2">
        <v>40</v>
      </c>
      <c r="E1102" s="3">
        <v>3446400</v>
      </c>
    </row>
    <row r="1103" spans="1:5" x14ac:dyDescent="0.3">
      <c r="A1103" s="1">
        <v>44280</v>
      </c>
      <c r="B1103" t="s">
        <v>22</v>
      </c>
      <c r="C1103" t="s">
        <v>5</v>
      </c>
      <c r="D1103" s="2">
        <v>30</v>
      </c>
      <c r="E1103" s="3">
        <v>2104800</v>
      </c>
    </row>
    <row r="1104" spans="1:5" x14ac:dyDescent="0.3">
      <c r="A1104" s="1">
        <v>44280</v>
      </c>
      <c r="B1104" t="s">
        <v>22</v>
      </c>
      <c r="C1104" t="s">
        <v>4</v>
      </c>
      <c r="D1104" s="2">
        <v>150</v>
      </c>
      <c r="E1104" s="3">
        <v>1585350</v>
      </c>
    </row>
    <row r="1105" spans="1:5" x14ac:dyDescent="0.3">
      <c r="A1105" s="1">
        <v>44281</v>
      </c>
      <c r="B1105" t="s">
        <v>52</v>
      </c>
      <c r="C1105" t="s">
        <v>4</v>
      </c>
      <c r="D1105" s="2">
        <v>500</v>
      </c>
      <c r="E1105" s="3">
        <v>5437500</v>
      </c>
    </row>
    <row r="1106" spans="1:5" x14ac:dyDescent="0.3">
      <c r="A1106" s="1">
        <v>44281</v>
      </c>
      <c r="B1106" t="s">
        <v>75</v>
      </c>
      <c r="C1106" t="s">
        <v>5</v>
      </c>
      <c r="D1106" s="2">
        <v>50</v>
      </c>
      <c r="E1106" s="3">
        <v>4308000</v>
      </c>
    </row>
    <row r="1107" spans="1:5" x14ac:dyDescent="0.3">
      <c r="A1107" s="1">
        <v>44281</v>
      </c>
      <c r="B1107" t="s">
        <v>77</v>
      </c>
      <c r="C1107" t="s">
        <v>5</v>
      </c>
      <c r="D1107" s="2">
        <v>50</v>
      </c>
      <c r="E1107" s="3">
        <v>4308000</v>
      </c>
    </row>
    <row r="1108" spans="1:5" x14ac:dyDescent="0.3">
      <c r="A1108" s="1">
        <v>44281</v>
      </c>
      <c r="B1108" t="s">
        <v>79</v>
      </c>
      <c r="C1108" t="s">
        <v>5</v>
      </c>
      <c r="D1108" s="2">
        <v>60</v>
      </c>
      <c r="E1108" s="3">
        <v>4209600</v>
      </c>
    </row>
    <row r="1109" spans="1:5" x14ac:dyDescent="0.3">
      <c r="A1109" s="1">
        <v>44281</v>
      </c>
      <c r="B1109" t="s">
        <v>79</v>
      </c>
      <c r="C1109" t="s">
        <v>4</v>
      </c>
      <c r="D1109" s="2">
        <v>500</v>
      </c>
      <c r="E1109" s="3">
        <v>5437500</v>
      </c>
    </row>
    <row r="1110" spans="1:5" x14ac:dyDescent="0.3">
      <c r="A1110" s="1">
        <v>44281</v>
      </c>
      <c r="B1110" t="s">
        <v>52</v>
      </c>
      <c r="C1110" t="s">
        <v>5</v>
      </c>
      <c r="D1110" s="2">
        <v>40</v>
      </c>
      <c r="E1110" s="3">
        <v>2806400</v>
      </c>
    </row>
    <row r="1111" spans="1:5" x14ac:dyDescent="0.3">
      <c r="A1111" s="1">
        <v>44284</v>
      </c>
      <c r="B1111" t="s">
        <v>92</v>
      </c>
      <c r="C1111" t="s">
        <v>5</v>
      </c>
      <c r="D1111" s="2">
        <v>20</v>
      </c>
      <c r="E1111" s="3">
        <v>1403200</v>
      </c>
    </row>
    <row r="1112" spans="1:5" x14ac:dyDescent="0.3">
      <c r="A1112" s="1">
        <v>44284</v>
      </c>
      <c r="B1112" t="s">
        <v>92</v>
      </c>
      <c r="C1112" t="s">
        <v>3</v>
      </c>
      <c r="D1112" s="2">
        <v>120</v>
      </c>
      <c r="E1112" s="3">
        <v>1440000</v>
      </c>
    </row>
    <row r="1113" spans="1:5" x14ac:dyDescent="0.3">
      <c r="A1113" s="1">
        <v>44284</v>
      </c>
      <c r="B1113" t="s">
        <v>92</v>
      </c>
      <c r="C1113" t="s">
        <v>4</v>
      </c>
      <c r="D1113" s="2">
        <v>20</v>
      </c>
      <c r="E1113" s="3">
        <v>333200</v>
      </c>
    </row>
    <row r="1114" spans="1:5" x14ac:dyDescent="0.3">
      <c r="A1114" s="1">
        <v>44285</v>
      </c>
      <c r="B1114" t="s">
        <v>30</v>
      </c>
      <c r="C1114" t="s">
        <v>4</v>
      </c>
      <c r="D1114" s="2">
        <v>300</v>
      </c>
      <c r="E1114" s="3">
        <v>3262500</v>
      </c>
    </row>
    <row r="1115" spans="1:5" x14ac:dyDescent="0.3">
      <c r="A1115" s="1">
        <v>44291</v>
      </c>
      <c r="B1115" t="s">
        <v>51</v>
      </c>
      <c r="C1115" t="s">
        <v>5</v>
      </c>
      <c r="D1115" s="2">
        <v>80</v>
      </c>
      <c r="E1115" s="3">
        <v>5852800</v>
      </c>
    </row>
    <row r="1116" spans="1:5" x14ac:dyDescent="0.3">
      <c r="A1116" s="1">
        <v>44292</v>
      </c>
      <c r="B1116" t="s">
        <v>50</v>
      </c>
      <c r="C1116" t="s">
        <v>4</v>
      </c>
      <c r="D1116" s="2">
        <v>2000</v>
      </c>
      <c r="E1116" s="3">
        <v>20412000</v>
      </c>
    </row>
    <row r="1117" spans="1:5" x14ac:dyDescent="0.3">
      <c r="A1117" s="1">
        <v>44292</v>
      </c>
      <c r="B1117" t="s">
        <v>180</v>
      </c>
      <c r="C1117" t="s">
        <v>4</v>
      </c>
      <c r="D1117" s="2">
        <v>1860</v>
      </c>
      <c r="E1117" s="3">
        <v>20227500</v>
      </c>
    </row>
    <row r="1118" spans="1:5" x14ac:dyDescent="0.3">
      <c r="A1118" s="1">
        <v>44292</v>
      </c>
      <c r="B1118" t="s">
        <v>177</v>
      </c>
      <c r="C1118" t="s">
        <v>4</v>
      </c>
      <c r="D1118" s="2">
        <v>1000</v>
      </c>
      <c r="E1118" s="3">
        <v>10875000</v>
      </c>
    </row>
    <row r="1119" spans="1:5" x14ac:dyDescent="0.3">
      <c r="A1119" s="1">
        <v>44292</v>
      </c>
      <c r="B1119" t="s">
        <v>175</v>
      </c>
      <c r="C1119" t="s">
        <v>4</v>
      </c>
      <c r="D1119" s="2">
        <v>6000</v>
      </c>
      <c r="E1119" s="3">
        <v>65250000</v>
      </c>
    </row>
    <row r="1120" spans="1:5" x14ac:dyDescent="0.3">
      <c r="A1120" s="1">
        <v>44292</v>
      </c>
      <c r="B1120" t="s">
        <v>173</v>
      </c>
      <c r="C1120" t="s">
        <v>4</v>
      </c>
      <c r="D1120" s="2">
        <v>6000</v>
      </c>
      <c r="E1120" s="3">
        <v>65250000</v>
      </c>
    </row>
    <row r="1121" spans="1:5" x14ac:dyDescent="0.3">
      <c r="A1121" s="1">
        <v>44292</v>
      </c>
      <c r="B1121" t="s">
        <v>103</v>
      </c>
      <c r="C1121" t="s">
        <v>4</v>
      </c>
      <c r="D1121" s="2">
        <v>5000</v>
      </c>
      <c r="E1121" s="3">
        <v>54375000</v>
      </c>
    </row>
    <row r="1122" spans="1:5" x14ac:dyDescent="0.3">
      <c r="A1122" s="1">
        <v>44292</v>
      </c>
      <c r="B1122" t="s">
        <v>38</v>
      </c>
      <c r="C1122" t="s">
        <v>7</v>
      </c>
      <c r="D1122" s="2">
        <v>100</v>
      </c>
      <c r="E1122" s="3">
        <v>887600</v>
      </c>
    </row>
    <row r="1123" spans="1:5" x14ac:dyDescent="0.3">
      <c r="A1123" s="1">
        <v>44292</v>
      </c>
      <c r="B1123" t="s">
        <v>38</v>
      </c>
      <c r="C1123" t="s">
        <v>4</v>
      </c>
      <c r="D1123" s="2">
        <v>200</v>
      </c>
      <c r="E1123" s="3">
        <v>2041200</v>
      </c>
    </row>
    <row r="1124" spans="1:5" x14ac:dyDescent="0.3">
      <c r="A1124" s="1">
        <v>44292</v>
      </c>
      <c r="B1124" t="s">
        <v>38</v>
      </c>
      <c r="C1124" t="s">
        <v>3</v>
      </c>
      <c r="D1124" s="2">
        <v>220</v>
      </c>
      <c r="E1124" s="3">
        <v>2640000</v>
      </c>
    </row>
    <row r="1125" spans="1:5" x14ac:dyDescent="0.3">
      <c r="A1125" s="1">
        <v>44293</v>
      </c>
      <c r="B1125" t="s">
        <v>157</v>
      </c>
      <c r="C1125" t="s">
        <v>4</v>
      </c>
      <c r="D1125" s="2">
        <v>2000</v>
      </c>
      <c r="E1125" s="3">
        <v>21750000</v>
      </c>
    </row>
    <row r="1126" spans="1:5" x14ac:dyDescent="0.3">
      <c r="A1126" s="1">
        <v>44293</v>
      </c>
      <c r="B1126" t="s">
        <v>102</v>
      </c>
      <c r="C1126" t="s">
        <v>4</v>
      </c>
      <c r="D1126" s="2">
        <v>5000</v>
      </c>
      <c r="E1126" s="3">
        <v>54375000</v>
      </c>
    </row>
    <row r="1127" spans="1:5" x14ac:dyDescent="0.3">
      <c r="A1127" s="1">
        <v>44293</v>
      </c>
      <c r="B1127" t="s">
        <v>113</v>
      </c>
      <c r="C1127" t="s">
        <v>4</v>
      </c>
      <c r="D1127" s="2">
        <v>3500</v>
      </c>
      <c r="E1127" s="3">
        <v>38062500</v>
      </c>
    </row>
    <row r="1128" spans="1:5" x14ac:dyDescent="0.3">
      <c r="A1128" s="1">
        <v>44293</v>
      </c>
      <c r="B1128" t="s">
        <v>85</v>
      </c>
      <c r="C1128" t="s">
        <v>4</v>
      </c>
      <c r="D1128" s="2">
        <v>1000</v>
      </c>
      <c r="E1128" s="3">
        <v>10875000</v>
      </c>
    </row>
    <row r="1129" spans="1:5" x14ac:dyDescent="0.3">
      <c r="A1129" s="1">
        <v>44293</v>
      </c>
      <c r="B1129" t="s">
        <v>84</v>
      </c>
      <c r="C1129" t="s">
        <v>4</v>
      </c>
      <c r="D1129" s="2">
        <v>1000</v>
      </c>
      <c r="E1129" s="3">
        <v>10875000</v>
      </c>
    </row>
    <row r="1130" spans="1:5" x14ac:dyDescent="0.3">
      <c r="A1130" s="1">
        <v>44202</v>
      </c>
      <c r="B1130" t="s">
        <v>56</v>
      </c>
      <c r="C1130" t="s">
        <v>4</v>
      </c>
      <c r="D1130" s="2">
        <v>1500</v>
      </c>
      <c r="E1130" s="3">
        <v>15850500</v>
      </c>
    </row>
    <row r="1131" spans="1:5" x14ac:dyDescent="0.3">
      <c r="A1131" s="1">
        <v>44202</v>
      </c>
      <c r="B1131" t="s">
        <v>56</v>
      </c>
      <c r="C1131" t="s">
        <v>3</v>
      </c>
      <c r="D1131" s="2">
        <v>120</v>
      </c>
      <c r="E1131" s="3">
        <v>1440000</v>
      </c>
    </row>
    <row r="1132" spans="1:5" x14ac:dyDescent="0.3">
      <c r="A1132" s="1">
        <v>44202</v>
      </c>
      <c r="B1132" t="s">
        <v>56</v>
      </c>
      <c r="C1132" t="s">
        <v>5</v>
      </c>
      <c r="D1132" s="2">
        <v>75</v>
      </c>
      <c r="E1132" s="3">
        <v>6462000</v>
      </c>
    </row>
    <row r="1133" spans="1:5" x14ac:dyDescent="0.3">
      <c r="A1133" s="1">
        <v>44202</v>
      </c>
      <c r="B1133" t="s">
        <v>65</v>
      </c>
      <c r="C1133" t="s">
        <v>3</v>
      </c>
      <c r="D1133" s="2">
        <v>36</v>
      </c>
      <c r="E1133" s="3">
        <v>432000</v>
      </c>
    </row>
    <row r="1134" spans="1:5" x14ac:dyDescent="0.3">
      <c r="A1134" s="1">
        <v>44202</v>
      </c>
      <c r="B1134" t="s">
        <v>65</v>
      </c>
      <c r="C1134" t="s">
        <v>5</v>
      </c>
      <c r="D1134" s="2">
        <v>75</v>
      </c>
      <c r="E1134" s="3">
        <v>6462000</v>
      </c>
    </row>
    <row r="1135" spans="1:5" x14ac:dyDescent="0.3">
      <c r="A1135" s="1">
        <v>44202</v>
      </c>
      <c r="B1135" t="s">
        <v>65</v>
      </c>
      <c r="C1135" t="s">
        <v>5</v>
      </c>
      <c r="D1135" s="2">
        <v>40</v>
      </c>
      <c r="E1135" s="3">
        <v>2806400</v>
      </c>
    </row>
    <row r="1136" spans="1:5" x14ac:dyDescent="0.3">
      <c r="A1136" s="1">
        <v>44202</v>
      </c>
      <c r="B1136" t="s">
        <v>69</v>
      </c>
      <c r="C1136" t="s">
        <v>3</v>
      </c>
      <c r="D1136" s="2">
        <v>36</v>
      </c>
      <c r="E1136" s="3">
        <v>432000</v>
      </c>
    </row>
    <row r="1137" spans="1:5" x14ac:dyDescent="0.3">
      <c r="A1137" s="1">
        <v>44202</v>
      </c>
      <c r="B1137" t="s">
        <v>69</v>
      </c>
      <c r="C1137" t="s">
        <v>5</v>
      </c>
      <c r="D1137" s="2">
        <v>25</v>
      </c>
      <c r="E1137" s="3">
        <v>2154000</v>
      </c>
    </row>
    <row r="1138" spans="1:5" x14ac:dyDescent="0.3">
      <c r="A1138" s="1">
        <v>44207</v>
      </c>
      <c r="B1138" t="s">
        <v>20</v>
      </c>
      <c r="C1138" t="s">
        <v>4</v>
      </c>
      <c r="D1138" s="2">
        <v>750</v>
      </c>
      <c r="E1138" s="3">
        <v>7925250</v>
      </c>
    </row>
    <row r="1139" spans="1:5" x14ac:dyDescent="0.3">
      <c r="A1139" s="1">
        <v>44207</v>
      </c>
      <c r="B1139" t="s">
        <v>78</v>
      </c>
      <c r="C1139" t="s">
        <v>3</v>
      </c>
      <c r="D1139" s="2">
        <v>96</v>
      </c>
      <c r="E1139" s="3">
        <v>1152000</v>
      </c>
    </row>
    <row r="1140" spans="1:5" x14ac:dyDescent="0.3">
      <c r="A1140" s="1">
        <v>44207</v>
      </c>
      <c r="B1140" t="s">
        <v>78</v>
      </c>
      <c r="C1140" t="s">
        <v>5</v>
      </c>
      <c r="D1140" s="2">
        <v>40</v>
      </c>
      <c r="E1140" s="3">
        <v>2806400</v>
      </c>
    </row>
    <row r="1141" spans="1:5" x14ac:dyDescent="0.3">
      <c r="A1141" s="1">
        <v>44207</v>
      </c>
      <c r="B1141" t="s">
        <v>25</v>
      </c>
      <c r="C1141" t="s">
        <v>5</v>
      </c>
      <c r="D1141" s="2">
        <v>150</v>
      </c>
      <c r="E1141" s="3">
        <v>12924000</v>
      </c>
    </row>
    <row r="1142" spans="1:5" x14ac:dyDescent="0.3">
      <c r="A1142" s="1">
        <v>44207</v>
      </c>
      <c r="B1142" t="s">
        <v>25</v>
      </c>
      <c r="C1142" t="s">
        <v>5</v>
      </c>
      <c r="D1142" s="2">
        <v>40</v>
      </c>
      <c r="E1142" s="3">
        <v>2806400</v>
      </c>
    </row>
    <row r="1143" spans="1:5" x14ac:dyDescent="0.3">
      <c r="A1143" s="1">
        <v>44207</v>
      </c>
      <c r="B1143" t="s">
        <v>25</v>
      </c>
      <c r="C1143" t="s">
        <v>6</v>
      </c>
      <c r="D1143" s="2">
        <v>60</v>
      </c>
      <c r="E1143" s="3">
        <v>769560</v>
      </c>
    </row>
    <row r="1144" spans="1:5" x14ac:dyDescent="0.3">
      <c r="A1144" s="1">
        <v>44210</v>
      </c>
      <c r="B1144" t="s">
        <v>156</v>
      </c>
      <c r="C1144" t="s">
        <v>4</v>
      </c>
      <c r="D1144" s="2">
        <v>2250</v>
      </c>
      <c r="E1144" s="3">
        <v>24239250</v>
      </c>
    </row>
    <row r="1145" spans="1:5" x14ac:dyDescent="0.3">
      <c r="A1145" s="1">
        <v>44210</v>
      </c>
      <c r="B1145" t="s">
        <v>126</v>
      </c>
      <c r="C1145" t="s">
        <v>4</v>
      </c>
      <c r="D1145" s="2">
        <v>600</v>
      </c>
      <c r="E1145" s="3">
        <v>6463800</v>
      </c>
    </row>
    <row r="1146" spans="1:5" x14ac:dyDescent="0.3">
      <c r="A1146" s="1">
        <v>44210</v>
      </c>
      <c r="B1146" t="s">
        <v>151</v>
      </c>
      <c r="C1146" t="s">
        <v>4</v>
      </c>
      <c r="D1146" s="2">
        <v>300</v>
      </c>
      <c r="E1146" s="3">
        <v>3231900</v>
      </c>
    </row>
    <row r="1147" spans="1:5" x14ac:dyDescent="0.3">
      <c r="A1147" s="1">
        <v>44210</v>
      </c>
      <c r="B1147" t="s">
        <v>141</v>
      </c>
      <c r="C1147" t="s">
        <v>4</v>
      </c>
      <c r="D1147" s="2">
        <v>300</v>
      </c>
      <c r="E1147" s="3">
        <v>3231900</v>
      </c>
    </row>
    <row r="1148" spans="1:5" x14ac:dyDescent="0.3">
      <c r="A1148" s="1">
        <v>44210</v>
      </c>
      <c r="B1148" t="s">
        <v>144</v>
      </c>
      <c r="C1148" t="s">
        <v>4</v>
      </c>
      <c r="D1148" s="2">
        <v>250</v>
      </c>
      <c r="E1148" s="3">
        <v>2693250</v>
      </c>
    </row>
    <row r="1149" spans="1:5" x14ac:dyDescent="0.3">
      <c r="A1149" s="1">
        <v>44210</v>
      </c>
      <c r="B1149" t="s">
        <v>132</v>
      </c>
      <c r="C1149" t="s">
        <v>4</v>
      </c>
      <c r="D1149" s="2">
        <v>250</v>
      </c>
      <c r="E1149" s="3">
        <v>2693250</v>
      </c>
    </row>
    <row r="1150" spans="1:5" x14ac:dyDescent="0.3">
      <c r="A1150" s="1">
        <v>44210</v>
      </c>
      <c r="B1150" t="s">
        <v>131</v>
      </c>
      <c r="C1150" t="s">
        <v>4</v>
      </c>
      <c r="D1150" s="2">
        <v>400</v>
      </c>
      <c r="E1150" s="3">
        <v>4309200</v>
      </c>
    </row>
    <row r="1151" spans="1:5" x14ac:dyDescent="0.3">
      <c r="A1151" s="1">
        <v>44210</v>
      </c>
      <c r="B1151" t="s">
        <v>159</v>
      </c>
      <c r="C1151" t="s">
        <v>4</v>
      </c>
      <c r="D1151" s="2">
        <v>1500</v>
      </c>
      <c r="E1151" s="3">
        <v>16159500</v>
      </c>
    </row>
    <row r="1152" spans="1:5" x14ac:dyDescent="0.3">
      <c r="A1152" s="1">
        <v>44210</v>
      </c>
      <c r="B1152" t="s">
        <v>170</v>
      </c>
      <c r="C1152" t="s">
        <v>4</v>
      </c>
      <c r="D1152" s="2">
        <v>1000</v>
      </c>
      <c r="E1152" s="3">
        <v>10773000</v>
      </c>
    </row>
    <row r="1153" spans="1:5" x14ac:dyDescent="0.3">
      <c r="A1153" s="1">
        <v>44210</v>
      </c>
      <c r="B1153" t="s">
        <v>157</v>
      </c>
      <c r="C1153" t="s">
        <v>4</v>
      </c>
      <c r="D1153" s="2">
        <v>2000</v>
      </c>
      <c r="E1153" s="3">
        <v>21546000</v>
      </c>
    </row>
    <row r="1154" spans="1:5" x14ac:dyDescent="0.3">
      <c r="A1154" s="1">
        <v>44210</v>
      </c>
      <c r="B1154" t="s">
        <v>117</v>
      </c>
      <c r="C1154" t="s">
        <v>4</v>
      </c>
      <c r="D1154" s="2">
        <v>5000</v>
      </c>
      <c r="E1154" s="3">
        <v>53865000</v>
      </c>
    </row>
    <row r="1155" spans="1:5" x14ac:dyDescent="0.3">
      <c r="A1155" s="1">
        <v>44210</v>
      </c>
      <c r="B1155" t="s">
        <v>113</v>
      </c>
      <c r="C1155" t="s">
        <v>4</v>
      </c>
      <c r="D1155" s="2">
        <v>1500</v>
      </c>
      <c r="E1155" s="3">
        <v>16159500</v>
      </c>
    </row>
    <row r="1156" spans="1:5" x14ac:dyDescent="0.3">
      <c r="A1156" s="1">
        <v>44214</v>
      </c>
      <c r="B1156" t="s">
        <v>57</v>
      </c>
      <c r="C1156" t="s">
        <v>5</v>
      </c>
      <c r="D1156" s="2">
        <v>50</v>
      </c>
      <c r="E1156" s="3">
        <v>4308000</v>
      </c>
    </row>
    <row r="1157" spans="1:5" x14ac:dyDescent="0.3">
      <c r="A1157" s="1">
        <v>44214</v>
      </c>
      <c r="B1157" t="s">
        <v>19</v>
      </c>
      <c r="C1157" t="s">
        <v>3</v>
      </c>
      <c r="D1157" s="2">
        <v>96</v>
      </c>
      <c r="E1157" s="3">
        <v>1152000</v>
      </c>
    </row>
    <row r="1158" spans="1:5" x14ac:dyDescent="0.3">
      <c r="A1158" s="1">
        <v>44214</v>
      </c>
      <c r="B1158" t="s">
        <v>31</v>
      </c>
      <c r="C1158" t="s">
        <v>6</v>
      </c>
      <c r="D1158" s="2">
        <v>108</v>
      </c>
      <c r="E1158" s="3">
        <v>1385208</v>
      </c>
    </row>
    <row r="1159" spans="1:5" x14ac:dyDescent="0.3">
      <c r="A1159" s="1">
        <v>44214</v>
      </c>
      <c r="B1159" t="s">
        <v>51</v>
      </c>
      <c r="C1159" t="s">
        <v>7</v>
      </c>
      <c r="D1159" s="2">
        <v>20</v>
      </c>
      <c r="E1159" s="3">
        <v>166520</v>
      </c>
    </row>
    <row r="1160" spans="1:5" x14ac:dyDescent="0.3">
      <c r="A1160" s="1">
        <v>44216</v>
      </c>
      <c r="B1160" t="s">
        <v>70</v>
      </c>
      <c r="C1160" t="s">
        <v>5</v>
      </c>
      <c r="D1160" s="2">
        <v>200</v>
      </c>
      <c r="E1160" s="3">
        <v>14032000</v>
      </c>
    </row>
    <row r="1161" spans="1:5" x14ac:dyDescent="0.3">
      <c r="A1161" s="1">
        <v>44216</v>
      </c>
      <c r="B1161" t="s">
        <v>57</v>
      </c>
      <c r="C1161" t="s">
        <v>5</v>
      </c>
      <c r="D1161" s="2">
        <v>140</v>
      </c>
      <c r="E1161" s="3">
        <v>9822400</v>
      </c>
    </row>
    <row r="1162" spans="1:5" x14ac:dyDescent="0.3">
      <c r="A1162" s="1">
        <v>44218</v>
      </c>
      <c r="B1162" t="s">
        <v>79</v>
      </c>
      <c r="C1162" t="s">
        <v>6</v>
      </c>
      <c r="D1162" s="2">
        <v>204</v>
      </c>
      <c r="E1162" s="3">
        <v>2616504</v>
      </c>
    </row>
    <row r="1163" spans="1:5" x14ac:dyDescent="0.3">
      <c r="A1163" s="1">
        <v>44218</v>
      </c>
      <c r="B1163" t="s">
        <v>92</v>
      </c>
      <c r="C1163" t="s">
        <v>6</v>
      </c>
      <c r="D1163" s="2">
        <v>204</v>
      </c>
      <c r="E1163" s="3">
        <v>2616504</v>
      </c>
    </row>
    <row r="1164" spans="1:5" x14ac:dyDescent="0.3">
      <c r="A1164" s="1">
        <v>44218</v>
      </c>
      <c r="B1164" t="s">
        <v>72</v>
      </c>
      <c r="C1164" t="s">
        <v>3</v>
      </c>
      <c r="D1164" s="2">
        <v>72</v>
      </c>
      <c r="E1164" s="3">
        <v>864000</v>
      </c>
    </row>
    <row r="1165" spans="1:5" x14ac:dyDescent="0.3">
      <c r="A1165" s="1">
        <v>44218</v>
      </c>
      <c r="B1165" t="s">
        <v>18</v>
      </c>
      <c r="C1165" t="s">
        <v>3</v>
      </c>
      <c r="D1165" s="2">
        <v>72</v>
      </c>
      <c r="E1165" s="3">
        <v>864000</v>
      </c>
    </row>
    <row r="1166" spans="1:5" x14ac:dyDescent="0.3">
      <c r="A1166" s="1">
        <v>44218</v>
      </c>
      <c r="B1166" t="s">
        <v>18</v>
      </c>
      <c r="C1166" t="s">
        <v>5</v>
      </c>
      <c r="D1166" s="2">
        <v>25</v>
      </c>
      <c r="E1166" s="3">
        <v>2154000</v>
      </c>
    </row>
    <row r="1167" spans="1:5" x14ac:dyDescent="0.3">
      <c r="A1167" s="1">
        <v>44224</v>
      </c>
      <c r="B1167" t="s">
        <v>80</v>
      </c>
      <c r="C1167" t="s">
        <v>4</v>
      </c>
      <c r="D1167" s="2">
        <v>350</v>
      </c>
      <c r="E1167" s="3">
        <v>3699150</v>
      </c>
    </row>
    <row r="1168" spans="1:5" x14ac:dyDescent="0.3">
      <c r="A1168" s="1">
        <v>44224</v>
      </c>
      <c r="B1168" t="s">
        <v>80</v>
      </c>
      <c r="C1168" t="s">
        <v>3</v>
      </c>
      <c r="D1168" s="2">
        <v>96</v>
      </c>
      <c r="E1168" s="3">
        <v>1152000</v>
      </c>
    </row>
    <row r="1169" spans="1:5" x14ac:dyDescent="0.3">
      <c r="A1169" s="1">
        <v>44224</v>
      </c>
      <c r="B1169" t="s">
        <v>80</v>
      </c>
      <c r="C1169" t="s">
        <v>5</v>
      </c>
      <c r="D1169" s="2">
        <v>25</v>
      </c>
      <c r="E1169" s="3">
        <v>2154000</v>
      </c>
    </row>
    <row r="1170" spans="1:5" x14ac:dyDescent="0.3">
      <c r="A1170" s="1">
        <v>44224</v>
      </c>
      <c r="B1170" t="s">
        <v>12</v>
      </c>
      <c r="C1170" t="s">
        <v>7</v>
      </c>
      <c r="D1170" s="2">
        <v>100</v>
      </c>
      <c r="E1170" s="3">
        <v>832600</v>
      </c>
    </row>
    <row r="1171" spans="1:5" x14ac:dyDescent="0.3">
      <c r="A1171" s="1">
        <v>44224</v>
      </c>
      <c r="B1171" t="s">
        <v>12</v>
      </c>
      <c r="C1171" t="s">
        <v>4</v>
      </c>
      <c r="D1171" s="2">
        <v>350</v>
      </c>
      <c r="E1171" s="3">
        <v>3699150</v>
      </c>
    </row>
    <row r="1172" spans="1:5" x14ac:dyDescent="0.3">
      <c r="A1172" s="1">
        <v>44224</v>
      </c>
      <c r="B1172" t="s">
        <v>140</v>
      </c>
      <c r="C1172" t="s">
        <v>6</v>
      </c>
      <c r="D1172" s="2">
        <v>96</v>
      </c>
      <c r="E1172" s="3">
        <v>1231296</v>
      </c>
    </row>
    <row r="1173" spans="1:5" x14ac:dyDescent="0.3">
      <c r="A1173" s="1">
        <v>44228</v>
      </c>
      <c r="B1173" t="s">
        <v>127</v>
      </c>
      <c r="C1173" t="s">
        <v>6</v>
      </c>
      <c r="D1173" s="2">
        <v>1008</v>
      </c>
      <c r="E1173" s="3">
        <v>12928608</v>
      </c>
    </row>
    <row r="1174" spans="1:5" x14ac:dyDescent="0.3">
      <c r="A1174" s="1">
        <v>44228</v>
      </c>
      <c r="B1174" t="s">
        <v>127</v>
      </c>
      <c r="C1174" t="s">
        <v>3</v>
      </c>
      <c r="D1174" s="2">
        <v>360</v>
      </c>
      <c r="E1174" s="3">
        <v>4320000</v>
      </c>
    </row>
    <row r="1175" spans="1:5" x14ac:dyDescent="0.3">
      <c r="A1175" s="1">
        <v>44228</v>
      </c>
      <c r="B1175" t="s">
        <v>127</v>
      </c>
      <c r="C1175" t="s">
        <v>5</v>
      </c>
      <c r="D1175" s="2">
        <v>25</v>
      </c>
      <c r="E1175" s="3">
        <v>2154000</v>
      </c>
    </row>
    <row r="1176" spans="1:5" x14ac:dyDescent="0.3">
      <c r="A1176" s="1">
        <v>44229</v>
      </c>
      <c r="B1176" t="s">
        <v>80</v>
      </c>
      <c r="C1176" t="s">
        <v>6</v>
      </c>
      <c r="D1176" s="2">
        <v>960</v>
      </c>
      <c r="E1176" s="3">
        <v>12312960</v>
      </c>
    </row>
    <row r="1177" spans="1:5" x14ac:dyDescent="0.3">
      <c r="A1177" s="1">
        <v>44229</v>
      </c>
      <c r="B1177" t="s">
        <v>94</v>
      </c>
      <c r="C1177" t="s">
        <v>4</v>
      </c>
      <c r="D1177" s="2">
        <v>1750</v>
      </c>
      <c r="E1177" s="3">
        <v>18856250</v>
      </c>
    </row>
    <row r="1178" spans="1:5" x14ac:dyDescent="0.3">
      <c r="A1178" s="1">
        <v>44230</v>
      </c>
      <c r="B1178" t="s">
        <v>77</v>
      </c>
      <c r="C1178" t="s">
        <v>6</v>
      </c>
      <c r="D1178" s="2">
        <v>1200</v>
      </c>
      <c r="E1178" s="3">
        <v>15391200</v>
      </c>
    </row>
    <row r="1179" spans="1:5" x14ac:dyDescent="0.3">
      <c r="A1179" s="1">
        <v>44232</v>
      </c>
      <c r="B1179" t="s">
        <v>12</v>
      </c>
      <c r="C1179" t="s">
        <v>3</v>
      </c>
      <c r="D1179" s="2">
        <v>1000</v>
      </c>
      <c r="E1179" s="3">
        <v>12000000</v>
      </c>
    </row>
    <row r="1180" spans="1:5" x14ac:dyDescent="0.3">
      <c r="A1180" s="1">
        <v>44232</v>
      </c>
      <c r="B1180" t="s">
        <v>12</v>
      </c>
      <c r="C1180" t="s">
        <v>7</v>
      </c>
      <c r="D1180" s="2">
        <v>80</v>
      </c>
      <c r="E1180" s="3">
        <v>666080</v>
      </c>
    </row>
    <row r="1181" spans="1:5" x14ac:dyDescent="0.3">
      <c r="A1181" s="1">
        <v>44232</v>
      </c>
      <c r="B1181" t="s">
        <v>31</v>
      </c>
      <c r="C1181" t="s">
        <v>4</v>
      </c>
      <c r="D1181" s="2">
        <v>800</v>
      </c>
      <c r="E1181" s="3">
        <v>8455200</v>
      </c>
    </row>
    <row r="1182" spans="1:5" x14ac:dyDescent="0.3">
      <c r="A1182" s="1">
        <v>44232</v>
      </c>
      <c r="B1182" t="s">
        <v>31</v>
      </c>
      <c r="C1182" t="s">
        <v>6</v>
      </c>
      <c r="D1182" s="2">
        <v>832</v>
      </c>
      <c r="E1182" s="3">
        <v>10671232</v>
      </c>
    </row>
    <row r="1183" spans="1:5" x14ac:dyDescent="0.3">
      <c r="A1183" s="1">
        <v>44232</v>
      </c>
      <c r="B1183" t="s">
        <v>31</v>
      </c>
      <c r="C1183" t="s">
        <v>5</v>
      </c>
      <c r="D1183" s="2">
        <v>50</v>
      </c>
      <c r="E1183" s="3">
        <v>4308000</v>
      </c>
    </row>
    <row r="1184" spans="1:5" x14ac:dyDescent="0.3">
      <c r="A1184" s="1">
        <v>44237</v>
      </c>
      <c r="B1184" t="s">
        <v>20</v>
      </c>
      <c r="C1184" t="s">
        <v>3</v>
      </c>
      <c r="D1184" s="2">
        <v>440</v>
      </c>
      <c r="E1184" s="3">
        <v>5280000</v>
      </c>
    </row>
    <row r="1185" spans="1:5" x14ac:dyDescent="0.3">
      <c r="A1185" s="1">
        <v>44243</v>
      </c>
      <c r="B1185" t="s">
        <v>105</v>
      </c>
      <c r="C1185" t="s">
        <v>3</v>
      </c>
      <c r="D1185" s="2">
        <v>360</v>
      </c>
      <c r="E1185" s="3">
        <v>4320000</v>
      </c>
    </row>
    <row r="1186" spans="1:5" x14ac:dyDescent="0.3">
      <c r="A1186" s="1">
        <v>44243</v>
      </c>
      <c r="B1186" t="s">
        <v>65</v>
      </c>
      <c r="C1186" t="s">
        <v>5</v>
      </c>
      <c r="D1186" s="2">
        <v>100</v>
      </c>
      <c r="E1186" s="3">
        <v>8616000</v>
      </c>
    </row>
    <row r="1187" spans="1:5" x14ac:dyDescent="0.3">
      <c r="A1187" s="1">
        <v>44243</v>
      </c>
      <c r="B1187" t="s">
        <v>36</v>
      </c>
      <c r="C1187" t="s">
        <v>7</v>
      </c>
      <c r="D1187" s="2">
        <v>100</v>
      </c>
      <c r="E1187" s="3">
        <v>887600</v>
      </c>
    </row>
    <row r="1188" spans="1:5" x14ac:dyDescent="0.3">
      <c r="A1188" s="1">
        <v>44243</v>
      </c>
      <c r="B1188" t="s">
        <v>36</v>
      </c>
      <c r="C1188" t="s">
        <v>4</v>
      </c>
      <c r="D1188" s="2">
        <v>1000</v>
      </c>
      <c r="E1188" s="3">
        <v>10569000</v>
      </c>
    </row>
    <row r="1189" spans="1:5" x14ac:dyDescent="0.3">
      <c r="A1189" s="1">
        <v>44243</v>
      </c>
      <c r="B1189" t="s">
        <v>117</v>
      </c>
      <c r="C1189" t="s">
        <v>4</v>
      </c>
      <c r="D1189" s="2">
        <v>3000</v>
      </c>
      <c r="E1189" s="3">
        <v>32325000</v>
      </c>
    </row>
    <row r="1190" spans="1:5" x14ac:dyDescent="0.3">
      <c r="A1190" s="1">
        <v>44243</v>
      </c>
      <c r="B1190" t="s">
        <v>85</v>
      </c>
      <c r="C1190" t="s">
        <v>4</v>
      </c>
      <c r="D1190" s="2">
        <v>1000</v>
      </c>
      <c r="E1190" s="3">
        <v>10775000</v>
      </c>
    </row>
    <row r="1191" spans="1:5" x14ac:dyDescent="0.3">
      <c r="A1191" s="1">
        <v>44243</v>
      </c>
      <c r="B1191" t="s">
        <v>103</v>
      </c>
      <c r="C1191" t="s">
        <v>4</v>
      </c>
      <c r="D1191" s="2">
        <v>6000</v>
      </c>
      <c r="E1191" s="3">
        <v>64650000</v>
      </c>
    </row>
    <row r="1192" spans="1:5" x14ac:dyDescent="0.3">
      <c r="A1192" s="1">
        <v>44243</v>
      </c>
      <c r="B1192" t="s">
        <v>84</v>
      </c>
      <c r="C1192" t="s">
        <v>4</v>
      </c>
      <c r="D1192" s="2">
        <v>500</v>
      </c>
      <c r="E1192" s="3">
        <v>5387500</v>
      </c>
    </row>
    <row r="1193" spans="1:5" x14ac:dyDescent="0.3">
      <c r="A1193" s="1">
        <v>44243</v>
      </c>
      <c r="B1193" t="s">
        <v>96</v>
      </c>
      <c r="C1193" t="s">
        <v>4</v>
      </c>
      <c r="D1193" s="2">
        <v>2000</v>
      </c>
      <c r="E1193" s="3">
        <v>21550000</v>
      </c>
    </row>
    <row r="1194" spans="1:5" x14ac:dyDescent="0.3">
      <c r="A1194" s="1">
        <v>44243</v>
      </c>
      <c r="B1194" t="s">
        <v>157</v>
      </c>
      <c r="C1194" t="s">
        <v>4</v>
      </c>
      <c r="D1194" s="2">
        <v>2000</v>
      </c>
      <c r="E1194" s="3">
        <v>21550000</v>
      </c>
    </row>
    <row r="1195" spans="1:5" x14ac:dyDescent="0.3">
      <c r="A1195" s="1">
        <v>44244</v>
      </c>
      <c r="B1195" t="s">
        <v>151</v>
      </c>
      <c r="C1195" t="s">
        <v>4</v>
      </c>
      <c r="D1195" s="2">
        <v>300</v>
      </c>
      <c r="E1195" s="3">
        <v>3232500</v>
      </c>
    </row>
    <row r="1196" spans="1:5" x14ac:dyDescent="0.3">
      <c r="A1196" s="1">
        <v>44244</v>
      </c>
      <c r="B1196" t="s">
        <v>141</v>
      </c>
      <c r="C1196" t="s">
        <v>4</v>
      </c>
      <c r="D1196" s="2">
        <v>300</v>
      </c>
      <c r="E1196" s="3">
        <v>3232500</v>
      </c>
    </row>
    <row r="1197" spans="1:5" x14ac:dyDescent="0.3">
      <c r="A1197" s="1">
        <v>44244</v>
      </c>
      <c r="B1197" t="s">
        <v>125</v>
      </c>
      <c r="C1197" t="s">
        <v>4</v>
      </c>
      <c r="D1197" s="2">
        <v>320</v>
      </c>
      <c r="E1197" s="3">
        <v>3448000</v>
      </c>
    </row>
    <row r="1198" spans="1:5" x14ac:dyDescent="0.3">
      <c r="A1198" s="1">
        <v>44244</v>
      </c>
      <c r="B1198" t="s">
        <v>135</v>
      </c>
      <c r="C1198" t="s">
        <v>4</v>
      </c>
      <c r="D1198" s="2">
        <v>230</v>
      </c>
      <c r="E1198" s="3">
        <v>2478250</v>
      </c>
    </row>
    <row r="1199" spans="1:5" x14ac:dyDescent="0.3">
      <c r="A1199" s="1">
        <v>44244</v>
      </c>
      <c r="B1199" t="s">
        <v>168</v>
      </c>
      <c r="C1199" t="s">
        <v>4</v>
      </c>
      <c r="D1199" s="2">
        <v>3000</v>
      </c>
      <c r="E1199" s="3">
        <v>32325000</v>
      </c>
    </row>
    <row r="1200" spans="1:5" x14ac:dyDescent="0.3">
      <c r="A1200" s="1">
        <v>44244</v>
      </c>
      <c r="B1200" t="s">
        <v>146</v>
      </c>
      <c r="C1200" t="s">
        <v>4</v>
      </c>
      <c r="D1200" s="2">
        <v>500</v>
      </c>
      <c r="E1200" s="3">
        <v>5387500</v>
      </c>
    </row>
    <row r="1201" spans="1:5" x14ac:dyDescent="0.3">
      <c r="A1201" s="1">
        <v>44244</v>
      </c>
      <c r="B1201" t="s">
        <v>133</v>
      </c>
      <c r="C1201" t="s">
        <v>4</v>
      </c>
      <c r="D1201" s="2">
        <v>400</v>
      </c>
      <c r="E1201" s="3">
        <v>4310000</v>
      </c>
    </row>
    <row r="1202" spans="1:5" x14ac:dyDescent="0.3">
      <c r="A1202" s="1">
        <v>44244</v>
      </c>
      <c r="B1202" t="s">
        <v>126</v>
      </c>
      <c r="C1202" t="s">
        <v>4</v>
      </c>
      <c r="D1202" s="2">
        <v>700</v>
      </c>
      <c r="E1202" s="3">
        <v>7542500</v>
      </c>
    </row>
    <row r="1203" spans="1:5" x14ac:dyDescent="0.3">
      <c r="A1203" s="1">
        <v>44244</v>
      </c>
      <c r="B1203" t="s">
        <v>142</v>
      </c>
      <c r="C1203" t="s">
        <v>4</v>
      </c>
      <c r="D1203" s="2">
        <v>2000</v>
      </c>
      <c r="E1203" s="3">
        <v>21550000</v>
      </c>
    </row>
    <row r="1204" spans="1:5" x14ac:dyDescent="0.3">
      <c r="A1204" s="1">
        <v>44244</v>
      </c>
      <c r="B1204" t="s">
        <v>124</v>
      </c>
      <c r="C1204" t="s">
        <v>4</v>
      </c>
      <c r="D1204" s="2">
        <v>1000</v>
      </c>
      <c r="E1204" s="3">
        <v>10775000</v>
      </c>
    </row>
    <row r="1205" spans="1:5" x14ac:dyDescent="0.3">
      <c r="A1205" s="1">
        <v>44246</v>
      </c>
      <c r="B1205" t="s">
        <v>76</v>
      </c>
      <c r="C1205" t="s">
        <v>4</v>
      </c>
      <c r="D1205" s="2">
        <v>500</v>
      </c>
      <c r="E1205" s="3">
        <v>5284500</v>
      </c>
    </row>
    <row r="1206" spans="1:5" x14ac:dyDescent="0.3">
      <c r="A1206" s="1">
        <v>44246</v>
      </c>
      <c r="B1206" t="s">
        <v>76</v>
      </c>
      <c r="C1206" t="s">
        <v>5</v>
      </c>
      <c r="D1206" s="2">
        <v>100</v>
      </c>
      <c r="E1206" s="3">
        <v>8616000</v>
      </c>
    </row>
    <row r="1207" spans="1:5" x14ac:dyDescent="0.3">
      <c r="A1207" s="1">
        <v>44249</v>
      </c>
      <c r="B1207" t="s">
        <v>70</v>
      </c>
      <c r="C1207" t="s">
        <v>5</v>
      </c>
      <c r="D1207" s="2">
        <v>80</v>
      </c>
      <c r="E1207" s="3">
        <v>5612800</v>
      </c>
    </row>
    <row r="1208" spans="1:5" x14ac:dyDescent="0.3">
      <c r="A1208" s="1">
        <v>44249</v>
      </c>
      <c r="B1208" t="s">
        <v>92</v>
      </c>
      <c r="C1208" t="s">
        <v>3</v>
      </c>
      <c r="D1208" s="2">
        <v>1120</v>
      </c>
      <c r="E1208" s="3">
        <v>13440000</v>
      </c>
    </row>
    <row r="1209" spans="1:5" x14ac:dyDescent="0.3">
      <c r="A1209" s="1">
        <v>44250</v>
      </c>
      <c r="B1209" t="s">
        <v>173</v>
      </c>
      <c r="C1209" t="s">
        <v>4</v>
      </c>
      <c r="D1209" s="2">
        <v>6000</v>
      </c>
      <c r="E1209" s="3">
        <v>64650000</v>
      </c>
    </row>
    <row r="1210" spans="1:5" x14ac:dyDescent="0.3">
      <c r="A1210" s="1">
        <v>44250</v>
      </c>
      <c r="B1210" t="s">
        <v>117</v>
      </c>
      <c r="C1210" t="s">
        <v>4</v>
      </c>
      <c r="D1210" s="2">
        <v>3500</v>
      </c>
      <c r="E1210" s="3">
        <v>37712500</v>
      </c>
    </row>
    <row r="1211" spans="1:5" x14ac:dyDescent="0.3">
      <c r="A1211" s="1">
        <v>44250</v>
      </c>
      <c r="B1211" t="s">
        <v>103</v>
      </c>
      <c r="C1211" t="s">
        <v>4</v>
      </c>
      <c r="D1211" s="2">
        <v>6000</v>
      </c>
      <c r="E1211" s="3">
        <v>64650000</v>
      </c>
    </row>
    <row r="1212" spans="1:5" x14ac:dyDescent="0.3">
      <c r="A1212" s="1">
        <v>44250</v>
      </c>
      <c r="B1212" t="s">
        <v>180</v>
      </c>
      <c r="C1212" t="s">
        <v>4</v>
      </c>
      <c r="D1212" s="2">
        <v>2350</v>
      </c>
      <c r="E1212" s="3">
        <v>25321250</v>
      </c>
    </row>
    <row r="1213" spans="1:5" x14ac:dyDescent="0.3">
      <c r="A1213" s="1">
        <v>44250</v>
      </c>
      <c r="B1213" t="s">
        <v>156</v>
      </c>
      <c r="C1213" t="s">
        <v>4</v>
      </c>
      <c r="D1213" s="2">
        <v>1250</v>
      </c>
      <c r="E1213" s="3">
        <v>13468750</v>
      </c>
    </row>
    <row r="1214" spans="1:5" x14ac:dyDescent="0.3">
      <c r="A1214" s="1">
        <v>44250</v>
      </c>
      <c r="B1214" t="s">
        <v>136</v>
      </c>
      <c r="C1214" t="s">
        <v>4</v>
      </c>
      <c r="D1214" s="2">
        <v>500</v>
      </c>
      <c r="E1214" s="3">
        <v>5387500</v>
      </c>
    </row>
    <row r="1215" spans="1:5" x14ac:dyDescent="0.3">
      <c r="A1215" s="1">
        <v>44252</v>
      </c>
      <c r="B1215" t="s">
        <v>50</v>
      </c>
      <c r="C1215" t="s">
        <v>5</v>
      </c>
      <c r="D1215" s="2">
        <v>80</v>
      </c>
      <c r="E1215" s="3">
        <v>6892800</v>
      </c>
    </row>
    <row r="1216" spans="1:5" x14ac:dyDescent="0.3">
      <c r="A1216" s="1">
        <v>44257</v>
      </c>
      <c r="B1216" t="s">
        <v>25</v>
      </c>
      <c r="C1216" t="s">
        <v>5</v>
      </c>
      <c r="D1216" s="2">
        <v>100</v>
      </c>
      <c r="E1216" s="3">
        <v>8616000</v>
      </c>
    </row>
    <row r="1217" spans="1:5" x14ac:dyDescent="0.3">
      <c r="A1217" s="1">
        <v>44257</v>
      </c>
      <c r="B1217" t="s">
        <v>38</v>
      </c>
      <c r="C1217" t="s">
        <v>3</v>
      </c>
      <c r="D1217" s="2">
        <v>200</v>
      </c>
      <c r="E1217" s="3">
        <v>2400000</v>
      </c>
    </row>
    <row r="1218" spans="1:5" x14ac:dyDescent="0.3">
      <c r="A1218" s="1">
        <v>44257</v>
      </c>
      <c r="B1218" t="s">
        <v>42</v>
      </c>
      <c r="C1218" t="s">
        <v>4</v>
      </c>
      <c r="D1218" s="2">
        <v>400</v>
      </c>
      <c r="E1218" s="3">
        <v>4227600</v>
      </c>
    </row>
    <row r="1219" spans="1:5" x14ac:dyDescent="0.3">
      <c r="A1219" s="1">
        <v>44257</v>
      </c>
      <c r="B1219" t="s">
        <v>95</v>
      </c>
      <c r="C1219" t="s">
        <v>7</v>
      </c>
      <c r="D1219" s="2">
        <v>100</v>
      </c>
      <c r="E1219" s="3">
        <v>887600</v>
      </c>
    </row>
    <row r="1220" spans="1:5" x14ac:dyDescent="0.3">
      <c r="A1220" s="1">
        <v>44258</v>
      </c>
      <c r="B1220" t="s">
        <v>50</v>
      </c>
      <c r="C1220" t="s">
        <v>4</v>
      </c>
      <c r="D1220" s="2">
        <v>500</v>
      </c>
      <c r="E1220" s="3">
        <v>5284500</v>
      </c>
    </row>
    <row r="1221" spans="1:5" x14ac:dyDescent="0.3">
      <c r="A1221" s="1">
        <v>44258</v>
      </c>
      <c r="B1221" t="s">
        <v>50</v>
      </c>
      <c r="C1221" t="s">
        <v>5</v>
      </c>
      <c r="D1221" s="2">
        <v>80</v>
      </c>
      <c r="E1221" s="3">
        <v>5612800</v>
      </c>
    </row>
    <row r="1222" spans="1:5" x14ac:dyDescent="0.3">
      <c r="A1222" s="1">
        <v>44264</v>
      </c>
      <c r="B1222" t="s">
        <v>146</v>
      </c>
      <c r="C1222" t="s">
        <v>4</v>
      </c>
      <c r="D1222" s="2">
        <v>320</v>
      </c>
      <c r="E1222" s="3">
        <v>3382080</v>
      </c>
    </row>
    <row r="1223" spans="1:5" x14ac:dyDescent="0.3">
      <c r="A1223" s="1">
        <v>44264</v>
      </c>
      <c r="B1223" t="s">
        <v>146</v>
      </c>
      <c r="C1223" t="s">
        <v>5</v>
      </c>
      <c r="D1223" s="2">
        <v>60</v>
      </c>
      <c r="E1223" s="3">
        <v>5169600</v>
      </c>
    </row>
    <row r="1224" spans="1:5" x14ac:dyDescent="0.3">
      <c r="A1224" s="1">
        <v>44264</v>
      </c>
      <c r="B1224" t="s">
        <v>146</v>
      </c>
      <c r="C1224" t="s">
        <v>3</v>
      </c>
      <c r="D1224" s="2">
        <v>32</v>
      </c>
      <c r="E1224" s="3">
        <v>384000</v>
      </c>
    </row>
    <row r="1225" spans="1:5" x14ac:dyDescent="0.3">
      <c r="A1225" s="1">
        <v>44264</v>
      </c>
      <c r="B1225" t="s">
        <v>146</v>
      </c>
      <c r="C1225" t="s">
        <v>7</v>
      </c>
      <c r="D1225" s="2">
        <v>102</v>
      </c>
      <c r="E1225" s="3">
        <v>905352</v>
      </c>
    </row>
    <row r="1226" spans="1:5" x14ac:dyDescent="0.3">
      <c r="A1226" s="1">
        <v>44273</v>
      </c>
      <c r="B1226" t="s">
        <v>27</v>
      </c>
      <c r="C1226" t="s">
        <v>4</v>
      </c>
      <c r="D1226" s="2">
        <v>50</v>
      </c>
      <c r="E1226" s="3">
        <v>528450</v>
      </c>
    </row>
    <row r="1227" spans="1:5" x14ac:dyDescent="0.3">
      <c r="A1227" s="1">
        <v>44273</v>
      </c>
      <c r="B1227" t="s">
        <v>27</v>
      </c>
      <c r="C1227" t="s">
        <v>5</v>
      </c>
      <c r="D1227" s="2">
        <v>35</v>
      </c>
      <c r="E1227" s="3">
        <v>3015600</v>
      </c>
    </row>
    <row r="1228" spans="1:5" x14ac:dyDescent="0.3">
      <c r="A1228" s="1">
        <v>44273</v>
      </c>
      <c r="B1228" t="s">
        <v>15</v>
      </c>
      <c r="C1228" t="s">
        <v>4</v>
      </c>
      <c r="D1228" s="2">
        <v>100</v>
      </c>
      <c r="E1228" s="3">
        <v>1056900</v>
      </c>
    </row>
    <row r="1229" spans="1:5" x14ac:dyDescent="0.3">
      <c r="A1229" s="1">
        <v>44273</v>
      </c>
      <c r="B1229" t="s">
        <v>15</v>
      </c>
      <c r="C1229" t="s">
        <v>3</v>
      </c>
      <c r="D1229" s="2">
        <v>200</v>
      </c>
      <c r="E1229" s="3">
        <v>2400000</v>
      </c>
    </row>
    <row r="1230" spans="1:5" x14ac:dyDescent="0.3">
      <c r="A1230" s="1">
        <v>44273</v>
      </c>
      <c r="B1230" t="s">
        <v>12</v>
      </c>
      <c r="C1230" t="s">
        <v>5</v>
      </c>
      <c r="D1230" s="2">
        <v>50</v>
      </c>
      <c r="E1230" s="3">
        <v>3508000</v>
      </c>
    </row>
    <row r="1231" spans="1:5" x14ac:dyDescent="0.3">
      <c r="A1231" s="1">
        <v>44274</v>
      </c>
      <c r="B1231" t="s">
        <v>134</v>
      </c>
      <c r="C1231" t="s">
        <v>4</v>
      </c>
      <c r="D1231" s="2">
        <v>100</v>
      </c>
      <c r="E1231" s="3">
        <v>1056900</v>
      </c>
    </row>
    <row r="1232" spans="1:5" x14ac:dyDescent="0.3">
      <c r="A1232" s="1">
        <v>44274</v>
      </c>
      <c r="B1232" t="s">
        <v>134</v>
      </c>
      <c r="C1232" t="s">
        <v>5</v>
      </c>
      <c r="D1232" s="2">
        <v>25</v>
      </c>
      <c r="E1232" s="3">
        <v>2154000</v>
      </c>
    </row>
    <row r="1233" spans="1:5" x14ac:dyDescent="0.3">
      <c r="A1233" s="1">
        <v>44274</v>
      </c>
      <c r="B1233" t="s">
        <v>20</v>
      </c>
      <c r="C1233" t="s">
        <v>4</v>
      </c>
      <c r="D1233" s="2">
        <v>40</v>
      </c>
      <c r="E1233" s="3">
        <v>666400</v>
      </c>
    </row>
    <row r="1234" spans="1:5" x14ac:dyDescent="0.3">
      <c r="A1234" s="1">
        <v>44274</v>
      </c>
      <c r="B1234" t="s">
        <v>20</v>
      </c>
      <c r="C1234" t="s">
        <v>5</v>
      </c>
      <c r="D1234" s="2">
        <v>40</v>
      </c>
      <c r="E1234" s="3">
        <v>2806400</v>
      </c>
    </row>
    <row r="1235" spans="1:5" x14ac:dyDescent="0.3">
      <c r="A1235" s="1">
        <v>44277</v>
      </c>
      <c r="B1235" t="s">
        <v>56</v>
      </c>
      <c r="C1235" t="s">
        <v>4</v>
      </c>
      <c r="D1235" s="2">
        <v>250</v>
      </c>
      <c r="E1235" s="3">
        <v>2642250</v>
      </c>
    </row>
    <row r="1236" spans="1:5" x14ac:dyDescent="0.3">
      <c r="A1236" s="1">
        <v>44277</v>
      </c>
      <c r="B1236" t="s">
        <v>56</v>
      </c>
      <c r="C1236" t="s">
        <v>5</v>
      </c>
      <c r="D1236" s="2">
        <v>10</v>
      </c>
      <c r="E1236" s="3">
        <v>701600</v>
      </c>
    </row>
    <row r="1237" spans="1:5" x14ac:dyDescent="0.3">
      <c r="A1237" s="1">
        <v>44277</v>
      </c>
      <c r="B1237" t="s">
        <v>105</v>
      </c>
      <c r="C1237" t="s">
        <v>4</v>
      </c>
      <c r="D1237" s="2">
        <v>100</v>
      </c>
      <c r="E1237" s="3">
        <v>1056900</v>
      </c>
    </row>
    <row r="1238" spans="1:5" x14ac:dyDescent="0.3">
      <c r="A1238" s="1">
        <v>44277</v>
      </c>
      <c r="B1238" t="s">
        <v>105</v>
      </c>
      <c r="C1238" t="s">
        <v>3</v>
      </c>
      <c r="D1238" s="2">
        <v>200</v>
      </c>
      <c r="E1238" s="3">
        <v>2400000</v>
      </c>
    </row>
    <row r="1239" spans="1:5" x14ac:dyDescent="0.3">
      <c r="A1239" s="1">
        <v>44277</v>
      </c>
      <c r="B1239" t="s">
        <v>31</v>
      </c>
      <c r="C1239" t="s">
        <v>5</v>
      </c>
      <c r="D1239" s="2">
        <v>20</v>
      </c>
      <c r="E1239" s="3">
        <v>1403200</v>
      </c>
    </row>
    <row r="1240" spans="1:5" x14ac:dyDescent="0.3">
      <c r="A1240" s="1">
        <v>44277</v>
      </c>
      <c r="B1240" t="s">
        <v>31</v>
      </c>
      <c r="C1240" t="s">
        <v>5</v>
      </c>
      <c r="D1240" s="2">
        <v>25</v>
      </c>
      <c r="E1240" s="3">
        <v>2154000</v>
      </c>
    </row>
    <row r="1241" spans="1:5" x14ac:dyDescent="0.3">
      <c r="A1241" s="1">
        <v>44278</v>
      </c>
      <c r="B1241" t="s">
        <v>36</v>
      </c>
      <c r="C1241" t="s">
        <v>5</v>
      </c>
      <c r="D1241" s="2">
        <v>35</v>
      </c>
      <c r="E1241" s="3">
        <v>3015600</v>
      </c>
    </row>
    <row r="1242" spans="1:5" x14ac:dyDescent="0.3">
      <c r="A1242" s="1">
        <v>44278</v>
      </c>
      <c r="B1242" t="s">
        <v>36</v>
      </c>
      <c r="C1242" t="s">
        <v>7</v>
      </c>
      <c r="D1242" s="2">
        <v>50</v>
      </c>
      <c r="E1242" s="3">
        <v>443800</v>
      </c>
    </row>
    <row r="1243" spans="1:5" x14ac:dyDescent="0.3">
      <c r="A1243" s="1">
        <v>44278</v>
      </c>
      <c r="B1243" t="s">
        <v>51</v>
      </c>
      <c r="C1243" t="s">
        <v>5</v>
      </c>
      <c r="D1243" s="2">
        <v>35</v>
      </c>
      <c r="E1243" s="3">
        <v>3015600</v>
      </c>
    </row>
    <row r="1244" spans="1:5" x14ac:dyDescent="0.3">
      <c r="A1244" s="1">
        <v>44278</v>
      </c>
      <c r="B1244" t="s">
        <v>51</v>
      </c>
      <c r="C1244" t="s">
        <v>7</v>
      </c>
      <c r="D1244" s="2">
        <v>50</v>
      </c>
      <c r="E1244" s="3">
        <v>443800</v>
      </c>
    </row>
    <row r="1245" spans="1:5" x14ac:dyDescent="0.3">
      <c r="A1245" s="1">
        <v>44278</v>
      </c>
      <c r="B1245" t="s">
        <v>26</v>
      </c>
      <c r="C1245" t="s">
        <v>5</v>
      </c>
      <c r="D1245" s="2">
        <v>35</v>
      </c>
      <c r="E1245" s="3">
        <v>3015600</v>
      </c>
    </row>
    <row r="1246" spans="1:5" x14ac:dyDescent="0.3">
      <c r="A1246" s="1">
        <v>44278</v>
      </c>
      <c r="B1246" t="s">
        <v>26</v>
      </c>
      <c r="C1246" t="s">
        <v>7</v>
      </c>
      <c r="D1246" s="2">
        <v>38</v>
      </c>
      <c r="E1246" s="3">
        <v>337288</v>
      </c>
    </row>
    <row r="1247" spans="1:5" x14ac:dyDescent="0.3">
      <c r="A1247" s="1">
        <v>44278</v>
      </c>
      <c r="B1247" t="s">
        <v>57</v>
      </c>
      <c r="C1247" t="s">
        <v>5</v>
      </c>
      <c r="D1247" s="2">
        <v>35</v>
      </c>
      <c r="E1247" s="3">
        <v>3015600</v>
      </c>
    </row>
    <row r="1248" spans="1:5" x14ac:dyDescent="0.3">
      <c r="A1248" s="1">
        <v>44278</v>
      </c>
      <c r="B1248" t="s">
        <v>57</v>
      </c>
      <c r="C1248" t="s">
        <v>7</v>
      </c>
      <c r="D1248" s="2">
        <v>60</v>
      </c>
      <c r="E1248" s="3">
        <v>532560</v>
      </c>
    </row>
    <row r="1249" spans="1:5" x14ac:dyDescent="0.3">
      <c r="A1249" s="1">
        <v>44280</v>
      </c>
      <c r="B1249" t="s">
        <v>80</v>
      </c>
      <c r="C1249" t="s">
        <v>3</v>
      </c>
      <c r="D1249" s="2">
        <v>160</v>
      </c>
      <c r="E1249" s="3">
        <v>1920000</v>
      </c>
    </row>
    <row r="1250" spans="1:5" x14ac:dyDescent="0.3">
      <c r="A1250" s="1">
        <v>44280</v>
      </c>
      <c r="B1250" t="s">
        <v>80</v>
      </c>
      <c r="C1250" t="s">
        <v>5</v>
      </c>
      <c r="D1250" s="2">
        <v>40</v>
      </c>
      <c r="E1250" s="3">
        <v>3446400</v>
      </c>
    </row>
    <row r="1251" spans="1:5" x14ac:dyDescent="0.3">
      <c r="A1251" s="1">
        <v>44280</v>
      </c>
      <c r="B1251" t="s">
        <v>65</v>
      </c>
      <c r="C1251" t="s">
        <v>5</v>
      </c>
      <c r="D1251" s="2">
        <v>60</v>
      </c>
      <c r="E1251" s="3">
        <v>5169600</v>
      </c>
    </row>
    <row r="1252" spans="1:5" x14ac:dyDescent="0.3">
      <c r="A1252" s="1">
        <v>44280</v>
      </c>
      <c r="B1252" t="s">
        <v>22</v>
      </c>
      <c r="C1252" t="s">
        <v>4</v>
      </c>
      <c r="D1252" s="2">
        <v>150</v>
      </c>
      <c r="E1252" s="3">
        <v>1585350</v>
      </c>
    </row>
    <row r="1253" spans="1:5" x14ac:dyDescent="0.3">
      <c r="A1253" s="1">
        <v>44280</v>
      </c>
      <c r="B1253" t="s">
        <v>22</v>
      </c>
      <c r="C1253" t="s">
        <v>5</v>
      </c>
      <c r="D1253" s="2">
        <v>30</v>
      </c>
      <c r="E1253" s="3">
        <v>2104800</v>
      </c>
    </row>
    <row r="1254" spans="1:5" x14ac:dyDescent="0.3">
      <c r="A1254" s="1">
        <v>44281</v>
      </c>
      <c r="B1254" t="s">
        <v>75</v>
      </c>
      <c r="C1254" t="s">
        <v>5</v>
      </c>
      <c r="D1254" s="2">
        <v>50</v>
      </c>
      <c r="E1254" s="3">
        <v>4308000</v>
      </c>
    </row>
    <row r="1255" spans="1:5" x14ac:dyDescent="0.3">
      <c r="A1255" s="1">
        <v>44281</v>
      </c>
      <c r="B1255" t="s">
        <v>52</v>
      </c>
      <c r="C1255" t="s">
        <v>4</v>
      </c>
      <c r="D1255" s="2">
        <v>500</v>
      </c>
      <c r="E1255" s="3">
        <v>5437500</v>
      </c>
    </row>
    <row r="1256" spans="1:5" x14ac:dyDescent="0.3">
      <c r="A1256" s="1">
        <v>44281</v>
      </c>
      <c r="B1256" t="s">
        <v>52</v>
      </c>
      <c r="C1256" t="s">
        <v>5</v>
      </c>
      <c r="D1256" s="2">
        <v>40</v>
      </c>
      <c r="E1256" s="3">
        <v>2806400</v>
      </c>
    </row>
    <row r="1257" spans="1:5" x14ac:dyDescent="0.3">
      <c r="A1257" s="1">
        <v>44281</v>
      </c>
      <c r="B1257" t="s">
        <v>79</v>
      </c>
      <c r="C1257" t="s">
        <v>4</v>
      </c>
      <c r="D1257" s="2">
        <v>500</v>
      </c>
      <c r="E1257" s="3">
        <v>5437500</v>
      </c>
    </row>
    <row r="1258" spans="1:5" x14ac:dyDescent="0.3">
      <c r="A1258" s="1">
        <v>44281</v>
      </c>
      <c r="B1258" t="s">
        <v>79</v>
      </c>
      <c r="C1258" t="s">
        <v>5</v>
      </c>
      <c r="D1258" s="2">
        <v>60</v>
      </c>
      <c r="E1258" s="3">
        <v>4209600</v>
      </c>
    </row>
    <row r="1259" spans="1:5" x14ac:dyDescent="0.3">
      <c r="A1259" s="1">
        <v>44281</v>
      </c>
      <c r="B1259" t="s">
        <v>77</v>
      </c>
      <c r="C1259" t="s">
        <v>5</v>
      </c>
      <c r="D1259" s="2">
        <v>50</v>
      </c>
      <c r="E1259" s="3">
        <v>4308000</v>
      </c>
    </row>
    <row r="1260" spans="1:5" x14ac:dyDescent="0.3">
      <c r="A1260" s="1">
        <v>44284</v>
      </c>
      <c r="B1260" t="s">
        <v>92</v>
      </c>
      <c r="C1260" t="s">
        <v>4</v>
      </c>
      <c r="D1260" s="2">
        <v>20</v>
      </c>
      <c r="E1260" s="3">
        <v>333200</v>
      </c>
    </row>
    <row r="1261" spans="1:5" x14ac:dyDescent="0.3">
      <c r="A1261" s="1">
        <v>44284</v>
      </c>
      <c r="B1261" t="s">
        <v>92</v>
      </c>
      <c r="C1261" t="s">
        <v>3</v>
      </c>
      <c r="D1261" s="2">
        <v>120</v>
      </c>
      <c r="E1261" s="3">
        <v>1440000</v>
      </c>
    </row>
    <row r="1262" spans="1:5" x14ac:dyDescent="0.3">
      <c r="A1262" s="1">
        <v>44284</v>
      </c>
      <c r="B1262" t="s">
        <v>92</v>
      </c>
      <c r="C1262" t="s">
        <v>5</v>
      </c>
      <c r="D1262" s="2">
        <v>20</v>
      </c>
      <c r="E1262" s="3">
        <v>1403200</v>
      </c>
    </row>
    <row r="1263" spans="1:5" x14ac:dyDescent="0.3">
      <c r="A1263" s="1">
        <v>44285</v>
      </c>
      <c r="B1263" t="s">
        <v>30</v>
      </c>
      <c r="C1263" t="s">
        <v>4</v>
      </c>
      <c r="D1263" s="2">
        <v>300</v>
      </c>
      <c r="E1263" s="3">
        <v>3262500</v>
      </c>
    </row>
    <row r="1264" spans="1:5" x14ac:dyDescent="0.3">
      <c r="A1264" s="1">
        <v>44291</v>
      </c>
      <c r="B1264" t="s">
        <v>51</v>
      </c>
      <c r="C1264" t="s">
        <v>5</v>
      </c>
      <c r="D1264" s="2">
        <v>80</v>
      </c>
      <c r="E1264" s="3">
        <v>5852800</v>
      </c>
    </row>
    <row r="1265" spans="1:5" x14ac:dyDescent="0.3">
      <c r="A1265" s="1">
        <v>44292</v>
      </c>
      <c r="B1265" t="s">
        <v>50</v>
      </c>
      <c r="C1265" t="s">
        <v>4</v>
      </c>
      <c r="D1265" s="2">
        <v>2000</v>
      </c>
      <c r="E1265" s="3">
        <v>20412000</v>
      </c>
    </row>
    <row r="1266" spans="1:5" x14ac:dyDescent="0.3">
      <c r="A1266" s="1">
        <v>44292</v>
      </c>
      <c r="B1266" t="s">
        <v>38</v>
      </c>
      <c r="C1266" t="s">
        <v>3</v>
      </c>
      <c r="D1266" s="2">
        <v>220</v>
      </c>
      <c r="E1266" s="3">
        <v>2640000</v>
      </c>
    </row>
    <row r="1267" spans="1:5" x14ac:dyDescent="0.3">
      <c r="A1267" s="1">
        <v>44292</v>
      </c>
      <c r="B1267" t="s">
        <v>38</v>
      </c>
      <c r="C1267" t="s">
        <v>4</v>
      </c>
      <c r="D1267" s="2">
        <v>200</v>
      </c>
      <c r="E1267" s="3">
        <v>2041200</v>
      </c>
    </row>
    <row r="1268" spans="1:5" x14ac:dyDescent="0.3">
      <c r="A1268" s="1">
        <v>44292</v>
      </c>
      <c r="B1268" t="s">
        <v>38</v>
      </c>
      <c r="C1268" t="s">
        <v>7</v>
      </c>
      <c r="D1268" s="2">
        <v>100</v>
      </c>
      <c r="E1268" s="3">
        <v>887600</v>
      </c>
    </row>
    <row r="1269" spans="1:5" x14ac:dyDescent="0.3">
      <c r="A1269" s="1">
        <v>44292</v>
      </c>
      <c r="B1269" t="s">
        <v>103</v>
      </c>
      <c r="C1269" t="s">
        <v>4</v>
      </c>
      <c r="D1269" s="2">
        <v>5000</v>
      </c>
      <c r="E1269" s="3">
        <v>54375000</v>
      </c>
    </row>
    <row r="1270" spans="1:5" x14ac:dyDescent="0.3">
      <c r="A1270" s="1">
        <v>44292</v>
      </c>
      <c r="B1270" t="s">
        <v>173</v>
      </c>
      <c r="C1270" t="s">
        <v>4</v>
      </c>
      <c r="D1270" s="2">
        <v>6000</v>
      </c>
      <c r="E1270" s="3">
        <v>65250000</v>
      </c>
    </row>
    <row r="1271" spans="1:5" x14ac:dyDescent="0.3">
      <c r="A1271" s="1">
        <v>44292</v>
      </c>
      <c r="B1271" t="s">
        <v>175</v>
      </c>
      <c r="C1271" t="s">
        <v>4</v>
      </c>
      <c r="D1271" s="2">
        <v>6000</v>
      </c>
      <c r="E1271" s="3">
        <v>65250000</v>
      </c>
    </row>
    <row r="1272" spans="1:5" x14ac:dyDescent="0.3">
      <c r="A1272" s="1">
        <v>44292</v>
      </c>
      <c r="B1272" t="s">
        <v>177</v>
      </c>
      <c r="C1272" t="s">
        <v>4</v>
      </c>
      <c r="D1272" s="2">
        <v>1000</v>
      </c>
      <c r="E1272" s="3">
        <v>10875000</v>
      </c>
    </row>
    <row r="1273" spans="1:5" x14ac:dyDescent="0.3">
      <c r="A1273" s="1">
        <v>44292</v>
      </c>
      <c r="B1273" t="s">
        <v>180</v>
      </c>
      <c r="C1273" t="s">
        <v>4</v>
      </c>
      <c r="D1273" s="2">
        <v>1860</v>
      </c>
      <c r="E1273" s="3">
        <v>20227500</v>
      </c>
    </row>
    <row r="1274" spans="1:5" x14ac:dyDescent="0.3">
      <c r="A1274" s="1">
        <v>44293</v>
      </c>
      <c r="B1274" t="s">
        <v>84</v>
      </c>
      <c r="C1274" t="s">
        <v>4</v>
      </c>
      <c r="D1274" s="2">
        <v>1000</v>
      </c>
      <c r="E1274" s="3">
        <v>10875000</v>
      </c>
    </row>
    <row r="1275" spans="1:5" x14ac:dyDescent="0.3">
      <c r="A1275" s="1">
        <v>44293</v>
      </c>
      <c r="B1275" t="s">
        <v>85</v>
      </c>
      <c r="C1275" t="s">
        <v>4</v>
      </c>
      <c r="D1275" s="2">
        <v>1000</v>
      </c>
      <c r="E1275" s="3">
        <v>10875000</v>
      </c>
    </row>
    <row r="1276" spans="1:5" x14ac:dyDescent="0.3">
      <c r="A1276" s="1">
        <v>44293</v>
      </c>
      <c r="B1276" t="s">
        <v>113</v>
      </c>
      <c r="C1276" t="s">
        <v>4</v>
      </c>
      <c r="D1276" s="2">
        <v>3500</v>
      </c>
      <c r="E1276" s="3">
        <v>38062500</v>
      </c>
    </row>
    <row r="1277" spans="1:5" x14ac:dyDescent="0.3">
      <c r="A1277" s="1">
        <v>44293</v>
      </c>
      <c r="B1277" t="s">
        <v>102</v>
      </c>
      <c r="C1277" t="s">
        <v>4</v>
      </c>
      <c r="D1277" s="2">
        <v>5000</v>
      </c>
      <c r="E1277" s="3">
        <v>54375000</v>
      </c>
    </row>
    <row r="1278" spans="1:5" x14ac:dyDescent="0.3">
      <c r="A1278" s="1">
        <v>44293</v>
      </c>
      <c r="B1278" t="s">
        <v>157</v>
      </c>
      <c r="C1278" t="s">
        <v>4</v>
      </c>
      <c r="D1278" s="2">
        <v>2000</v>
      </c>
      <c r="E1278" s="3">
        <v>21750000</v>
      </c>
    </row>
    <row r="1279" spans="1:5" x14ac:dyDescent="0.3">
      <c r="A1279" s="1">
        <v>44294</v>
      </c>
      <c r="B1279" t="s">
        <v>156</v>
      </c>
      <c r="C1279" t="s">
        <v>4</v>
      </c>
      <c r="D1279" s="2">
        <v>2000</v>
      </c>
      <c r="E1279" s="3">
        <v>21750000</v>
      </c>
    </row>
    <row r="1280" spans="1:5" x14ac:dyDescent="0.3">
      <c r="A1280" s="1">
        <v>44294</v>
      </c>
      <c r="B1280" t="s">
        <v>121</v>
      </c>
      <c r="C1280" t="s">
        <v>4</v>
      </c>
      <c r="D1280" s="2">
        <v>1000</v>
      </c>
      <c r="E1280" s="3">
        <v>10875000</v>
      </c>
    </row>
    <row r="1281" spans="1:5" x14ac:dyDescent="0.3">
      <c r="A1281" s="1">
        <v>44294</v>
      </c>
      <c r="B1281" t="s">
        <v>91</v>
      </c>
      <c r="C1281" t="s">
        <v>4</v>
      </c>
      <c r="D1281" s="2">
        <v>3930</v>
      </c>
      <c r="E1281" s="3">
        <v>42738750</v>
      </c>
    </row>
    <row r="1282" spans="1:5" x14ac:dyDescent="0.3">
      <c r="A1282" s="1">
        <v>44294</v>
      </c>
      <c r="B1282" t="s">
        <v>122</v>
      </c>
      <c r="C1282" t="s">
        <v>4</v>
      </c>
      <c r="D1282" s="2">
        <v>1000</v>
      </c>
      <c r="E1282" s="3">
        <v>10875000</v>
      </c>
    </row>
    <row r="1283" spans="1:5" x14ac:dyDescent="0.3">
      <c r="A1283" s="1">
        <v>44294</v>
      </c>
      <c r="B1283" t="s">
        <v>127</v>
      </c>
      <c r="C1283" t="s">
        <v>4</v>
      </c>
      <c r="D1283" s="2">
        <v>670</v>
      </c>
      <c r="E1283" s="3">
        <v>7286250</v>
      </c>
    </row>
    <row r="1284" spans="1:5" x14ac:dyDescent="0.3">
      <c r="A1284" s="1">
        <v>44294</v>
      </c>
      <c r="B1284" t="s">
        <v>124</v>
      </c>
      <c r="C1284" t="s">
        <v>4</v>
      </c>
      <c r="D1284" s="2">
        <v>1000</v>
      </c>
      <c r="E1284" s="3">
        <v>10875000</v>
      </c>
    </row>
    <row r="1285" spans="1:5" x14ac:dyDescent="0.3">
      <c r="A1285" s="1">
        <v>44294</v>
      </c>
      <c r="B1285" t="s">
        <v>12</v>
      </c>
      <c r="C1285" t="s">
        <v>3</v>
      </c>
      <c r="D1285" s="2">
        <v>100</v>
      </c>
      <c r="E1285" s="3">
        <v>1200000</v>
      </c>
    </row>
    <row r="1286" spans="1:5" x14ac:dyDescent="0.3">
      <c r="A1286" s="1">
        <v>44294</v>
      </c>
      <c r="B1286" t="s">
        <v>12</v>
      </c>
      <c r="C1286" t="s">
        <v>5</v>
      </c>
      <c r="D1286" s="2">
        <v>60</v>
      </c>
      <c r="E1286" s="3">
        <v>4389600</v>
      </c>
    </row>
    <row r="1287" spans="1:5" x14ac:dyDescent="0.3">
      <c r="A1287" s="1">
        <v>44294</v>
      </c>
      <c r="B1287" t="s">
        <v>58</v>
      </c>
      <c r="C1287" t="s">
        <v>4</v>
      </c>
      <c r="D1287" s="2">
        <v>250</v>
      </c>
      <c r="E1287" s="3">
        <v>2718750</v>
      </c>
    </row>
    <row r="1288" spans="1:5" x14ac:dyDescent="0.3">
      <c r="A1288" s="1">
        <v>44294</v>
      </c>
      <c r="B1288" t="s">
        <v>58</v>
      </c>
      <c r="C1288" t="s">
        <v>7</v>
      </c>
      <c r="D1288" s="2">
        <v>120</v>
      </c>
      <c r="E1288" s="3">
        <v>1065120</v>
      </c>
    </row>
    <row r="1289" spans="1:5" x14ac:dyDescent="0.3">
      <c r="A1289" s="1">
        <v>44295</v>
      </c>
      <c r="B1289" t="s">
        <v>31</v>
      </c>
      <c r="C1289" t="s">
        <v>3</v>
      </c>
      <c r="D1289" s="2">
        <v>100</v>
      </c>
      <c r="E1289" s="3">
        <v>1200000</v>
      </c>
    </row>
    <row r="1290" spans="1:5" x14ac:dyDescent="0.3">
      <c r="A1290" s="1">
        <v>44295</v>
      </c>
      <c r="B1290" t="s">
        <v>31</v>
      </c>
      <c r="C1290" t="s">
        <v>5</v>
      </c>
      <c r="D1290" s="2">
        <v>80</v>
      </c>
      <c r="E1290" s="3">
        <v>5852800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19344-F51C-4769-8DE0-05A5E4E4C54F}">
  <dimension ref="A1:D13"/>
  <sheetViews>
    <sheetView workbookViewId="0">
      <selection activeCell="C9" sqref="C9"/>
    </sheetView>
  </sheetViews>
  <sheetFormatPr defaultRowHeight="14.4" x14ac:dyDescent="0.3"/>
  <cols>
    <col min="1" max="1" width="14.44140625" bestFit="1" customWidth="1"/>
    <col min="3" max="3" width="12.5546875" bestFit="1" customWidth="1"/>
    <col min="4" max="4" width="20.21875" bestFit="1" customWidth="1"/>
  </cols>
  <sheetData>
    <row r="1" spans="1:4" x14ac:dyDescent="0.3">
      <c r="A1" t="s">
        <v>1</v>
      </c>
    </row>
    <row r="2" spans="1:4" x14ac:dyDescent="0.3">
      <c r="A2" t="s">
        <v>4</v>
      </c>
    </row>
    <row r="3" spans="1:4" x14ac:dyDescent="0.3">
      <c r="A3" t="s">
        <v>5</v>
      </c>
    </row>
    <row r="4" spans="1:4" x14ac:dyDescent="0.3">
      <c r="A4" t="s">
        <v>6</v>
      </c>
    </row>
    <row r="5" spans="1:4" x14ac:dyDescent="0.3">
      <c r="A5" t="s">
        <v>7</v>
      </c>
    </row>
    <row r="6" spans="1:4" x14ac:dyDescent="0.3">
      <c r="A6" t="s">
        <v>3</v>
      </c>
    </row>
    <row r="7" spans="1:4" x14ac:dyDescent="0.3">
      <c r="C7" s="4" t="s">
        <v>196</v>
      </c>
      <c r="D7" t="s">
        <v>205</v>
      </c>
    </row>
    <row r="8" spans="1:4" x14ac:dyDescent="0.3">
      <c r="C8" s="5" t="s">
        <v>4</v>
      </c>
      <c r="D8" s="16">
        <v>1</v>
      </c>
    </row>
    <row r="9" spans="1:4" x14ac:dyDescent="0.3">
      <c r="C9" s="5" t="s">
        <v>5</v>
      </c>
      <c r="D9" s="16">
        <v>1</v>
      </c>
    </row>
    <row r="10" spans="1:4" x14ac:dyDescent="0.3">
      <c r="C10" s="5" t="s">
        <v>3</v>
      </c>
      <c r="D10" s="16">
        <v>1</v>
      </c>
    </row>
    <row r="11" spans="1:4" x14ac:dyDescent="0.3">
      <c r="C11" s="5" t="s">
        <v>6</v>
      </c>
      <c r="D11" s="16">
        <v>1</v>
      </c>
    </row>
    <row r="12" spans="1:4" x14ac:dyDescent="0.3">
      <c r="C12" s="5" t="s">
        <v>7</v>
      </c>
      <c r="D12" s="16">
        <v>1</v>
      </c>
    </row>
    <row r="13" spans="1:4" x14ac:dyDescent="0.3">
      <c r="C13" s="5" t="s">
        <v>181</v>
      </c>
      <c r="D13" s="16">
        <v>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3A895-2F7E-41D1-BEA5-3703EBC98FA2}">
  <dimension ref="A1:A172"/>
  <sheetViews>
    <sheetView workbookViewId="0">
      <selection activeCell="A5" sqref="A5"/>
    </sheetView>
  </sheetViews>
  <sheetFormatPr defaultRowHeight="14.4" x14ac:dyDescent="0.3"/>
  <cols>
    <col min="1" max="1" width="47.6640625" bestFit="1" customWidth="1"/>
  </cols>
  <sheetData>
    <row r="1" spans="1:1" x14ac:dyDescent="0.3">
      <c r="A1" t="s">
        <v>8</v>
      </c>
    </row>
    <row r="2" spans="1:1" x14ac:dyDescent="0.3">
      <c r="A2" t="s">
        <v>10</v>
      </c>
    </row>
    <row r="3" spans="1:1" x14ac:dyDescent="0.3">
      <c r="A3" t="s">
        <v>11</v>
      </c>
    </row>
    <row r="4" spans="1:1" x14ac:dyDescent="0.3">
      <c r="A4" t="s">
        <v>12</v>
      </c>
    </row>
    <row r="5" spans="1:1" x14ac:dyDescent="0.3">
      <c r="A5" t="s">
        <v>13</v>
      </c>
    </row>
    <row r="6" spans="1:1" x14ac:dyDescent="0.3">
      <c r="A6" t="s">
        <v>14</v>
      </c>
    </row>
    <row r="7" spans="1:1" x14ac:dyDescent="0.3">
      <c r="A7" t="s">
        <v>15</v>
      </c>
    </row>
    <row r="8" spans="1:1" x14ac:dyDescent="0.3">
      <c r="A8" t="s">
        <v>16</v>
      </c>
    </row>
    <row r="9" spans="1:1" x14ac:dyDescent="0.3">
      <c r="A9" t="s">
        <v>17</v>
      </c>
    </row>
    <row r="10" spans="1:1" x14ac:dyDescent="0.3">
      <c r="A10" t="s">
        <v>18</v>
      </c>
    </row>
    <row r="11" spans="1:1" x14ac:dyDescent="0.3">
      <c r="A11" t="s">
        <v>81</v>
      </c>
    </row>
    <row r="12" spans="1:1" x14ac:dyDescent="0.3">
      <c r="A12" t="s">
        <v>19</v>
      </c>
    </row>
    <row r="13" spans="1:1" x14ac:dyDescent="0.3">
      <c r="A13" t="s">
        <v>82</v>
      </c>
    </row>
    <row r="14" spans="1:1" x14ac:dyDescent="0.3">
      <c r="A14" t="s">
        <v>83</v>
      </c>
    </row>
    <row r="15" spans="1:1" x14ac:dyDescent="0.3">
      <c r="A15" t="s">
        <v>84</v>
      </c>
    </row>
    <row r="16" spans="1:1" x14ac:dyDescent="0.3">
      <c r="A16" t="s">
        <v>85</v>
      </c>
    </row>
    <row r="17" spans="1:1" x14ac:dyDescent="0.3">
      <c r="A17" t="s">
        <v>86</v>
      </c>
    </row>
    <row r="18" spans="1:1" x14ac:dyDescent="0.3">
      <c r="A18" t="s">
        <v>87</v>
      </c>
    </row>
    <row r="19" spans="1:1" x14ac:dyDescent="0.3">
      <c r="A19" t="s">
        <v>88</v>
      </c>
    </row>
    <row r="20" spans="1:1" x14ac:dyDescent="0.3">
      <c r="A20" t="s">
        <v>89</v>
      </c>
    </row>
    <row r="21" spans="1:1" x14ac:dyDescent="0.3">
      <c r="A21" t="s">
        <v>90</v>
      </c>
    </row>
    <row r="22" spans="1:1" x14ac:dyDescent="0.3">
      <c r="A22" t="s">
        <v>91</v>
      </c>
    </row>
    <row r="23" spans="1:1" x14ac:dyDescent="0.3">
      <c r="A23" t="s">
        <v>92</v>
      </c>
    </row>
    <row r="24" spans="1:1" x14ac:dyDescent="0.3">
      <c r="A24" t="s">
        <v>20</v>
      </c>
    </row>
    <row r="25" spans="1:1" x14ac:dyDescent="0.3">
      <c r="A25" t="s">
        <v>21</v>
      </c>
    </row>
    <row r="26" spans="1:1" x14ac:dyDescent="0.3">
      <c r="A26" t="s">
        <v>93</v>
      </c>
    </row>
    <row r="27" spans="1:1" x14ac:dyDescent="0.3">
      <c r="A27" t="s">
        <v>94</v>
      </c>
    </row>
    <row r="28" spans="1:1" x14ac:dyDescent="0.3">
      <c r="A28" t="s">
        <v>95</v>
      </c>
    </row>
    <row r="29" spans="1:1" x14ac:dyDescent="0.3">
      <c r="A29" t="s">
        <v>22</v>
      </c>
    </row>
    <row r="30" spans="1:1" x14ac:dyDescent="0.3">
      <c r="A30" t="s">
        <v>23</v>
      </c>
    </row>
    <row r="31" spans="1:1" x14ac:dyDescent="0.3">
      <c r="A31" t="s">
        <v>24</v>
      </c>
    </row>
    <row r="32" spans="1:1" x14ac:dyDescent="0.3">
      <c r="A32" t="s">
        <v>25</v>
      </c>
    </row>
    <row r="33" spans="1:1" x14ac:dyDescent="0.3">
      <c r="A33" t="s">
        <v>26</v>
      </c>
    </row>
    <row r="34" spans="1:1" x14ac:dyDescent="0.3">
      <c r="A34" t="s">
        <v>27</v>
      </c>
    </row>
    <row r="35" spans="1:1" x14ac:dyDescent="0.3">
      <c r="A35" t="s">
        <v>96</v>
      </c>
    </row>
    <row r="36" spans="1:1" x14ac:dyDescent="0.3">
      <c r="A36" t="s">
        <v>97</v>
      </c>
    </row>
    <row r="37" spans="1:1" x14ac:dyDescent="0.3">
      <c r="A37" t="s">
        <v>98</v>
      </c>
    </row>
    <row r="38" spans="1:1" x14ac:dyDescent="0.3">
      <c r="A38" t="s">
        <v>28</v>
      </c>
    </row>
    <row r="39" spans="1:1" x14ac:dyDescent="0.3">
      <c r="A39" t="s">
        <v>29</v>
      </c>
    </row>
    <row r="40" spans="1:1" x14ac:dyDescent="0.3">
      <c r="A40" t="s">
        <v>99</v>
      </c>
    </row>
    <row r="41" spans="1:1" x14ac:dyDescent="0.3">
      <c r="A41" t="s">
        <v>100</v>
      </c>
    </row>
    <row r="42" spans="1:1" x14ac:dyDescent="0.3">
      <c r="A42" t="s">
        <v>101</v>
      </c>
    </row>
    <row r="43" spans="1:1" x14ac:dyDescent="0.3">
      <c r="A43" t="s">
        <v>30</v>
      </c>
    </row>
    <row r="44" spans="1:1" x14ac:dyDescent="0.3">
      <c r="A44" t="s">
        <v>31</v>
      </c>
    </row>
    <row r="45" spans="1:1" x14ac:dyDescent="0.3">
      <c r="A45" t="s">
        <v>102</v>
      </c>
    </row>
    <row r="46" spans="1:1" x14ac:dyDescent="0.3">
      <c r="A46" t="s">
        <v>103</v>
      </c>
    </row>
    <row r="47" spans="1:1" x14ac:dyDescent="0.3">
      <c r="A47" t="s">
        <v>104</v>
      </c>
    </row>
    <row r="48" spans="1:1" x14ac:dyDescent="0.3">
      <c r="A48" t="s">
        <v>32</v>
      </c>
    </row>
    <row r="49" spans="1:1" x14ac:dyDescent="0.3">
      <c r="A49" t="s">
        <v>105</v>
      </c>
    </row>
    <row r="50" spans="1:1" x14ac:dyDescent="0.3">
      <c r="A50" t="s">
        <v>33</v>
      </c>
    </row>
    <row r="51" spans="1:1" x14ac:dyDescent="0.3">
      <c r="A51" t="s">
        <v>106</v>
      </c>
    </row>
    <row r="52" spans="1:1" x14ac:dyDescent="0.3">
      <c r="A52" t="s">
        <v>34</v>
      </c>
    </row>
    <row r="53" spans="1:1" x14ac:dyDescent="0.3">
      <c r="A53" t="s">
        <v>35</v>
      </c>
    </row>
    <row r="54" spans="1:1" x14ac:dyDescent="0.3">
      <c r="A54" t="s">
        <v>36</v>
      </c>
    </row>
    <row r="55" spans="1:1" x14ac:dyDescent="0.3">
      <c r="A55" t="s">
        <v>107</v>
      </c>
    </row>
    <row r="56" spans="1:1" x14ac:dyDescent="0.3">
      <c r="A56" t="s">
        <v>108</v>
      </c>
    </row>
    <row r="57" spans="1:1" x14ac:dyDescent="0.3">
      <c r="A57" t="s">
        <v>109</v>
      </c>
    </row>
    <row r="58" spans="1:1" x14ac:dyDescent="0.3">
      <c r="A58" t="s">
        <v>110</v>
      </c>
    </row>
    <row r="59" spans="1:1" x14ac:dyDescent="0.3">
      <c r="A59" t="s">
        <v>111</v>
      </c>
    </row>
    <row r="60" spans="1:1" x14ac:dyDescent="0.3">
      <c r="A60" t="s">
        <v>112</v>
      </c>
    </row>
    <row r="61" spans="1:1" x14ac:dyDescent="0.3">
      <c r="A61" t="s">
        <v>37</v>
      </c>
    </row>
    <row r="62" spans="1:1" x14ac:dyDescent="0.3">
      <c r="A62" t="s">
        <v>113</v>
      </c>
    </row>
    <row r="63" spans="1:1" x14ac:dyDescent="0.3">
      <c r="A63" t="s">
        <v>114</v>
      </c>
    </row>
    <row r="64" spans="1:1" x14ac:dyDescent="0.3">
      <c r="A64" t="s">
        <v>115</v>
      </c>
    </row>
    <row r="65" spans="1:1" x14ac:dyDescent="0.3">
      <c r="A65" t="s">
        <v>116</v>
      </c>
    </row>
    <row r="66" spans="1:1" x14ac:dyDescent="0.3">
      <c r="A66" t="s">
        <v>117</v>
      </c>
    </row>
    <row r="67" spans="1:1" x14ac:dyDescent="0.3">
      <c r="A67" t="s">
        <v>38</v>
      </c>
    </row>
    <row r="68" spans="1:1" x14ac:dyDescent="0.3">
      <c r="A68" t="s">
        <v>39</v>
      </c>
    </row>
    <row r="69" spans="1:1" x14ac:dyDescent="0.3">
      <c r="A69" t="s">
        <v>40</v>
      </c>
    </row>
    <row r="70" spans="1:1" x14ac:dyDescent="0.3">
      <c r="A70" t="s">
        <v>41</v>
      </c>
    </row>
    <row r="71" spans="1:1" x14ac:dyDescent="0.3">
      <c r="A71" t="s">
        <v>42</v>
      </c>
    </row>
    <row r="72" spans="1:1" x14ac:dyDescent="0.3">
      <c r="A72" t="s">
        <v>118</v>
      </c>
    </row>
    <row r="73" spans="1:1" x14ac:dyDescent="0.3">
      <c r="A73" t="s">
        <v>43</v>
      </c>
    </row>
    <row r="74" spans="1:1" x14ac:dyDescent="0.3">
      <c r="A74" t="s">
        <v>44</v>
      </c>
    </row>
    <row r="75" spans="1:1" x14ac:dyDescent="0.3">
      <c r="A75" t="s">
        <v>119</v>
      </c>
    </row>
    <row r="76" spans="1:1" x14ac:dyDescent="0.3">
      <c r="A76" t="s">
        <v>120</v>
      </c>
    </row>
    <row r="77" spans="1:1" x14ac:dyDescent="0.3">
      <c r="A77" t="s">
        <v>121</v>
      </c>
    </row>
    <row r="78" spans="1:1" x14ac:dyDescent="0.3">
      <c r="A78" t="s">
        <v>122</v>
      </c>
    </row>
    <row r="79" spans="1:1" x14ac:dyDescent="0.3">
      <c r="A79" t="s">
        <v>123</v>
      </c>
    </row>
    <row r="80" spans="1:1" x14ac:dyDescent="0.3">
      <c r="A80" t="s">
        <v>124</v>
      </c>
    </row>
    <row r="81" spans="1:1" x14ac:dyDescent="0.3">
      <c r="A81" t="s">
        <v>125</v>
      </c>
    </row>
    <row r="82" spans="1:1" x14ac:dyDescent="0.3">
      <c r="A82" t="s">
        <v>126</v>
      </c>
    </row>
    <row r="83" spans="1:1" x14ac:dyDescent="0.3">
      <c r="A83" t="s">
        <v>127</v>
      </c>
    </row>
    <row r="84" spans="1:1" x14ac:dyDescent="0.3">
      <c r="A84" t="s">
        <v>128</v>
      </c>
    </row>
    <row r="85" spans="1:1" x14ac:dyDescent="0.3">
      <c r="A85" t="s">
        <v>129</v>
      </c>
    </row>
    <row r="86" spans="1:1" x14ac:dyDescent="0.3">
      <c r="A86" t="s">
        <v>45</v>
      </c>
    </row>
    <row r="87" spans="1:1" x14ac:dyDescent="0.3">
      <c r="A87" t="s">
        <v>130</v>
      </c>
    </row>
    <row r="88" spans="1:1" x14ac:dyDescent="0.3">
      <c r="A88" t="s">
        <v>131</v>
      </c>
    </row>
    <row r="89" spans="1:1" x14ac:dyDescent="0.3">
      <c r="A89" t="s">
        <v>132</v>
      </c>
    </row>
    <row r="90" spans="1:1" x14ac:dyDescent="0.3">
      <c r="A90" t="s">
        <v>133</v>
      </c>
    </row>
    <row r="91" spans="1:1" x14ac:dyDescent="0.3">
      <c r="A91" t="s">
        <v>46</v>
      </c>
    </row>
    <row r="92" spans="1:1" x14ac:dyDescent="0.3">
      <c r="A92" t="s">
        <v>47</v>
      </c>
    </row>
    <row r="93" spans="1:1" x14ac:dyDescent="0.3">
      <c r="A93" t="s">
        <v>48</v>
      </c>
    </row>
    <row r="94" spans="1:1" x14ac:dyDescent="0.3">
      <c r="A94" t="s">
        <v>49</v>
      </c>
    </row>
    <row r="95" spans="1:1" x14ac:dyDescent="0.3">
      <c r="A95" t="s">
        <v>50</v>
      </c>
    </row>
    <row r="96" spans="1:1" x14ac:dyDescent="0.3">
      <c r="A96" t="s">
        <v>51</v>
      </c>
    </row>
    <row r="97" spans="1:1" x14ac:dyDescent="0.3">
      <c r="A97" t="s">
        <v>52</v>
      </c>
    </row>
    <row r="98" spans="1:1" x14ac:dyDescent="0.3">
      <c r="A98" t="s">
        <v>53</v>
      </c>
    </row>
    <row r="99" spans="1:1" x14ac:dyDescent="0.3">
      <c r="A99" t="s">
        <v>54</v>
      </c>
    </row>
    <row r="100" spans="1:1" x14ac:dyDescent="0.3">
      <c r="A100" t="s">
        <v>134</v>
      </c>
    </row>
    <row r="101" spans="1:1" x14ac:dyDescent="0.3">
      <c r="A101" t="s">
        <v>55</v>
      </c>
    </row>
    <row r="102" spans="1:1" x14ac:dyDescent="0.3">
      <c r="A102" t="s">
        <v>135</v>
      </c>
    </row>
    <row r="103" spans="1:1" x14ac:dyDescent="0.3">
      <c r="A103" t="s">
        <v>136</v>
      </c>
    </row>
    <row r="104" spans="1:1" x14ac:dyDescent="0.3">
      <c r="A104" t="s">
        <v>137</v>
      </c>
    </row>
    <row r="105" spans="1:1" x14ac:dyDescent="0.3">
      <c r="A105" t="s">
        <v>138</v>
      </c>
    </row>
    <row r="106" spans="1:1" x14ac:dyDescent="0.3">
      <c r="A106" t="s">
        <v>139</v>
      </c>
    </row>
    <row r="107" spans="1:1" x14ac:dyDescent="0.3">
      <c r="A107" t="s">
        <v>140</v>
      </c>
    </row>
    <row r="108" spans="1:1" x14ac:dyDescent="0.3">
      <c r="A108" t="s">
        <v>141</v>
      </c>
    </row>
    <row r="109" spans="1:1" x14ac:dyDescent="0.3">
      <c r="A109" t="s">
        <v>56</v>
      </c>
    </row>
    <row r="110" spans="1:1" x14ac:dyDescent="0.3">
      <c r="A110" t="s">
        <v>142</v>
      </c>
    </row>
    <row r="111" spans="1:1" x14ac:dyDescent="0.3">
      <c r="A111" t="s">
        <v>57</v>
      </c>
    </row>
    <row r="112" spans="1:1" x14ac:dyDescent="0.3">
      <c r="A112" t="s">
        <v>58</v>
      </c>
    </row>
    <row r="113" spans="1:1" x14ac:dyDescent="0.3">
      <c r="A113" t="s">
        <v>59</v>
      </c>
    </row>
    <row r="114" spans="1:1" x14ac:dyDescent="0.3">
      <c r="A114" t="s">
        <v>143</v>
      </c>
    </row>
    <row r="115" spans="1:1" x14ac:dyDescent="0.3">
      <c r="A115" t="s">
        <v>144</v>
      </c>
    </row>
    <row r="116" spans="1:1" x14ac:dyDescent="0.3">
      <c r="A116" t="s">
        <v>145</v>
      </c>
    </row>
    <row r="117" spans="1:1" x14ac:dyDescent="0.3">
      <c r="A117" t="s">
        <v>146</v>
      </c>
    </row>
    <row r="118" spans="1:1" x14ac:dyDescent="0.3">
      <c r="A118" t="s">
        <v>147</v>
      </c>
    </row>
    <row r="119" spans="1:1" x14ac:dyDescent="0.3">
      <c r="A119" t="s">
        <v>148</v>
      </c>
    </row>
    <row r="120" spans="1:1" x14ac:dyDescent="0.3">
      <c r="A120" t="s">
        <v>60</v>
      </c>
    </row>
    <row r="121" spans="1:1" x14ac:dyDescent="0.3">
      <c r="A121" t="s">
        <v>61</v>
      </c>
    </row>
    <row r="122" spans="1:1" x14ac:dyDescent="0.3">
      <c r="A122" t="s">
        <v>62</v>
      </c>
    </row>
    <row r="123" spans="1:1" x14ac:dyDescent="0.3">
      <c r="A123" t="s">
        <v>63</v>
      </c>
    </row>
    <row r="124" spans="1:1" x14ac:dyDescent="0.3">
      <c r="A124" t="s">
        <v>64</v>
      </c>
    </row>
    <row r="125" spans="1:1" x14ac:dyDescent="0.3">
      <c r="A125" t="s">
        <v>65</v>
      </c>
    </row>
    <row r="126" spans="1:1" x14ac:dyDescent="0.3">
      <c r="A126" t="s">
        <v>66</v>
      </c>
    </row>
    <row r="127" spans="1:1" x14ac:dyDescent="0.3">
      <c r="A127" t="s">
        <v>67</v>
      </c>
    </row>
    <row r="128" spans="1:1" x14ac:dyDescent="0.3">
      <c r="A128" t="s">
        <v>68</v>
      </c>
    </row>
    <row r="129" spans="1:1" x14ac:dyDescent="0.3">
      <c r="A129" t="s">
        <v>69</v>
      </c>
    </row>
    <row r="130" spans="1:1" x14ac:dyDescent="0.3">
      <c r="A130" t="s">
        <v>70</v>
      </c>
    </row>
    <row r="131" spans="1:1" x14ac:dyDescent="0.3">
      <c r="A131" t="s">
        <v>71</v>
      </c>
    </row>
    <row r="132" spans="1:1" x14ac:dyDescent="0.3">
      <c r="A132" t="s">
        <v>72</v>
      </c>
    </row>
    <row r="133" spans="1:1" x14ac:dyDescent="0.3">
      <c r="A133" t="s">
        <v>149</v>
      </c>
    </row>
    <row r="134" spans="1:1" x14ac:dyDescent="0.3">
      <c r="A134" t="s">
        <v>150</v>
      </c>
    </row>
    <row r="135" spans="1:1" x14ac:dyDescent="0.3">
      <c r="A135" t="s">
        <v>151</v>
      </c>
    </row>
    <row r="136" spans="1:1" x14ac:dyDescent="0.3">
      <c r="A136" t="s">
        <v>152</v>
      </c>
    </row>
    <row r="137" spans="1:1" x14ac:dyDescent="0.3">
      <c r="A137" t="s">
        <v>153</v>
      </c>
    </row>
    <row r="138" spans="1:1" x14ac:dyDescent="0.3">
      <c r="A138" t="s">
        <v>154</v>
      </c>
    </row>
    <row r="139" spans="1:1" x14ac:dyDescent="0.3">
      <c r="A139" t="s">
        <v>155</v>
      </c>
    </row>
    <row r="140" spans="1:1" x14ac:dyDescent="0.3">
      <c r="A140" t="s">
        <v>156</v>
      </c>
    </row>
    <row r="141" spans="1:1" x14ac:dyDescent="0.3">
      <c r="A141" t="s">
        <v>157</v>
      </c>
    </row>
    <row r="142" spans="1:1" x14ac:dyDescent="0.3">
      <c r="A142" t="s">
        <v>158</v>
      </c>
    </row>
    <row r="143" spans="1:1" x14ac:dyDescent="0.3">
      <c r="A143" t="s">
        <v>159</v>
      </c>
    </row>
    <row r="144" spans="1:1" x14ac:dyDescent="0.3">
      <c r="A144" t="s">
        <v>160</v>
      </c>
    </row>
    <row r="145" spans="1:1" x14ac:dyDescent="0.3">
      <c r="A145" t="s">
        <v>161</v>
      </c>
    </row>
    <row r="146" spans="1:1" x14ac:dyDescent="0.3">
      <c r="A146" t="s">
        <v>73</v>
      </c>
    </row>
    <row r="147" spans="1:1" x14ac:dyDescent="0.3">
      <c r="A147" t="s">
        <v>162</v>
      </c>
    </row>
    <row r="148" spans="1:1" x14ac:dyDescent="0.3">
      <c r="A148" t="s">
        <v>163</v>
      </c>
    </row>
    <row r="149" spans="1:1" x14ac:dyDescent="0.3">
      <c r="A149" t="s">
        <v>164</v>
      </c>
    </row>
    <row r="150" spans="1:1" x14ac:dyDescent="0.3">
      <c r="A150" t="s">
        <v>165</v>
      </c>
    </row>
    <row r="151" spans="1:1" x14ac:dyDescent="0.3">
      <c r="A151" t="s">
        <v>166</v>
      </c>
    </row>
    <row r="152" spans="1:1" x14ac:dyDescent="0.3">
      <c r="A152" t="s">
        <v>167</v>
      </c>
    </row>
    <row r="153" spans="1:1" x14ac:dyDescent="0.3">
      <c r="A153" t="s">
        <v>168</v>
      </c>
    </row>
    <row r="154" spans="1:1" x14ac:dyDescent="0.3">
      <c r="A154" t="s">
        <v>169</v>
      </c>
    </row>
    <row r="155" spans="1:1" x14ac:dyDescent="0.3">
      <c r="A155" t="s">
        <v>170</v>
      </c>
    </row>
    <row r="156" spans="1:1" x14ac:dyDescent="0.3">
      <c r="A156" t="s">
        <v>171</v>
      </c>
    </row>
    <row r="157" spans="1:1" x14ac:dyDescent="0.3">
      <c r="A157" t="s">
        <v>172</v>
      </c>
    </row>
    <row r="158" spans="1:1" x14ac:dyDescent="0.3">
      <c r="A158" t="s">
        <v>173</v>
      </c>
    </row>
    <row r="159" spans="1:1" x14ac:dyDescent="0.3">
      <c r="A159" t="s">
        <v>174</v>
      </c>
    </row>
    <row r="160" spans="1:1" x14ac:dyDescent="0.3">
      <c r="A160" t="s">
        <v>175</v>
      </c>
    </row>
    <row r="161" spans="1:1" x14ac:dyDescent="0.3">
      <c r="A161" t="s">
        <v>176</v>
      </c>
    </row>
    <row r="162" spans="1:1" x14ac:dyDescent="0.3">
      <c r="A162" t="s">
        <v>177</v>
      </c>
    </row>
    <row r="163" spans="1:1" x14ac:dyDescent="0.3">
      <c r="A163" t="s">
        <v>178</v>
      </c>
    </row>
    <row r="164" spans="1:1" x14ac:dyDescent="0.3">
      <c r="A164" t="s">
        <v>74</v>
      </c>
    </row>
    <row r="165" spans="1:1" x14ac:dyDescent="0.3">
      <c r="A165" t="s">
        <v>179</v>
      </c>
    </row>
    <row r="166" spans="1:1" x14ac:dyDescent="0.3">
      <c r="A166" t="s">
        <v>180</v>
      </c>
    </row>
    <row r="167" spans="1:1" x14ac:dyDescent="0.3">
      <c r="A167" t="s">
        <v>75</v>
      </c>
    </row>
    <row r="168" spans="1:1" x14ac:dyDescent="0.3">
      <c r="A168" t="s">
        <v>76</v>
      </c>
    </row>
    <row r="169" spans="1:1" x14ac:dyDescent="0.3">
      <c r="A169" t="s">
        <v>77</v>
      </c>
    </row>
    <row r="170" spans="1:1" x14ac:dyDescent="0.3">
      <c r="A170" t="s">
        <v>78</v>
      </c>
    </row>
    <row r="171" spans="1:1" x14ac:dyDescent="0.3">
      <c r="A171" t="s">
        <v>79</v>
      </c>
    </row>
    <row r="172" spans="1:1" x14ac:dyDescent="0.3">
      <c r="A172" t="s">
        <v>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6A32-F9A8-4BE1-8B44-94530C75BEAA}">
  <dimension ref="A1:D2792"/>
  <sheetViews>
    <sheetView topLeftCell="A2" workbookViewId="0">
      <selection activeCell="D10" sqref="D9:D12"/>
    </sheetView>
  </sheetViews>
  <sheetFormatPr defaultRowHeight="14.4" x14ac:dyDescent="0.3"/>
  <cols>
    <col min="1" max="1" width="10.5546875" bestFit="1" customWidth="1"/>
    <col min="4" max="4" width="12.5546875" bestFit="1" customWidth="1"/>
  </cols>
  <sheetData>
    <row r="1" spans="1:4" x14ac:dyDescent="0.3">
      <c r="A1" t="s">
        <v>0</v>
      </c>
    </row>
    <row r="2" spans="1:4" x14ac:dyDescent="0.3">
      <c r="A2" s="1">
        <v>43466</v>
      </c>
    </row>
    <row r="3" spans="1:4" x14ac:dyDescent="0.3">
      <c r="A3" s="1">
        <v>43467</v>
      </c>
    </row>
    <row r="4" spans="1:4" x14ac:dyDescent="0.3">
      <c r="A4" s="1">
        <v>43468</v>
      </c>
    </row>
    <row r="5" spans="1:4" x14ac:dyDescent="0.3">
      <c r="A5" s="1">
        <v>43469</v>
      </c>
    </row>
    <row r="6" spans="1:4" x14ac:dyDescent="0.3">
      <c r="A6" s="1">
        <v>43470</v>
      </c>
    </row>
    <row r="7" spans="1:4" x14ac:dyDescent="0.3">
      <c r="A7" s="1">
        <v>43471</v>
      </c>
    </row>
    <row r="8" spans="1:4" x14ac:dyDescent="0.3">
      <c r="A8" s="1">
        <v>43472</v>
      </c>
      <c r="D8" s="4" t="s">
        <v>196</v>
      </c>
    </row>
    <row r="9" spans="1:4" x14ac:dyDescent="0.3">
      <c r="A9" s="1">
        <v>43473</v>
      </c>
      <c r="D9" s="5" t="s">
        <v>217</v>
      </c>
    </row>
    <row r="10" spans="1:4" x14ac:dyDescent="0.3">
      <c r="A10" s="1">
        <v>43474</v>
      </c>
      <c r="D10" s="5" t="s">
        <v>218</v>
      </c>
    </row>
    <row r="11" spans="1:4" x14ac:dyDescent="0.3">
      <c r="A11" s="1">
        <v>43475</v>
      </c>
      <c r="D11" s="5" t="s">
        <v>219</v>
      </c>
    </row>
    <row r="12" spans="1:4" x14ac:dyDescent="0.3">
      <c r="A12" s="1">
        <v>43476</v>
      </c>
      <c r="D12" s="5" t="s">
        <v>220</v>
      </c>
    </row>
    <row r="13" spans="1:4" x14ac:dyDescent="0.3">
      <c r="A13" s="1">
        <v>43477</v>
      </c>
      <c r="D13" s="5" t="s">
        <v>181</v>
      </c>
    </row>
    <row r="14" spans="1:4" x14ac:dyDescent="0.3">
      <c r="A14" s="1">
        <v>43478</v>
      </c>
    </row>
    <row r="15" spans="1:4" x14ac:dyDescent="0.3">
      <c r="A15" s="1">
        <v>43479</v>
      </c>
    </row>
    <row r="16" spans="1:4" x14ac:dyDescent="0.3">
      <c r="A16" s="1">
        <v>43480</v>
      </c>
    </row>
    <row r="17" spans="1:1" x14ac:dyDescent="0.3">
      <c r="A17" s="1">
        <v>43481</v>
      </c>
    </row>
    <row r="18" spans="1:1" x14ac:dyDescent="0.3">
      <c r="A18" s="1">
        <v>43482</v>
      </c>
    </row>
    <row r="19" spans="1:1" x14ac:dyDescent="0.3">
      <c r="A19" s="1">
        <v>43483</v>
      </c>
    </row>
    <row r="20" spans="1:1" x14ac:dyDescent="0.3">
      <c r="A20" s="1">
        <v>43484</v>
      </c>
    </row>
    <row r="21" spans="1:1" x14ac:dyDescent="0.3">
      <c r="A21" s="1">
        <v>43485</v>
      </c>
    </row>
    <row r="22" spans="1:1" x14ac:dyDescent="0.3">
      <c r="A22" s="1">
        <v>43486</v>
      </c>
    </row>
    <row r="23" spans="1:1" x14ac:dyDescent="0.3">
      <c r="A23" s="1">
        <v>43487</v>
      </c>
    </row>
    <row r="24" spans="1:1" x14ac:dyDescent="0.3">
      <c r="A24" s="1">
        <v>43488</v>
      </c>
    </row>
    <row r="25" spans="1:1" x14ac:dyDescent="0.3">
      <c r="A25" s="1">
        <v>43489</v>
      </c>
    </row>
    <row r="26" spans="1:1" x14ac:dyDescent="0.3">
      <c r="A26" s="1">
        <v>43490</v>
      </c>
    </row>
    <row r="27" spans="1:1" x14ac:dyDescent="0.3">
      <c r="A27" s="1">
        <v>43491</v>
      </c>
    </row>
    <row r="28" spans="1:1" x14ac:dyDescent="0.3">
      <c r="A28" s="1">
        <v>43492</v>
      </c>
    </row>
    <row r="29" spans="1:1" x14ac:dyDescent="0.3">
      <c r="A29" s="1">
        <v>43493</v>
      </c>
    </row>
    <row r="30" spans="1:1" x14ac:dyDescent="0.3">
      <c r="A30" s="1">
        <v>43494</v>
      </c>
    </row>
    <row r="31" spans="1:1" x14ac:dyDescent="0.3">
      <c r="A31" s="1">
        <v>43495</v>
      </c>
    </row>
    <row r="32" spans="1:1" x14ac:dyDescent="0.3">
      <c r="A32" s="1">
        <v>43496</v>
      </c>
    </row>
    <row r="33" spans="1:1" x14ac:dyDescent="0.3">
      <c r="A33" s="1">
        <v>43497</v>
      </c>
    </row>
    <row r="34" spans="1:1" x14ac:dyDescent="0.3">
      <c r="A34" s="1">
        <v>43498</v>
      </c>
    </row>
    <row r="35" spans="1:1" x14ac:dyDescent="0.3">
      <c r="A35" s="1">
        <v>43499</v>
      </c>
    </row>
    <row r="36" spans="1:1" x14ac:dyDescent="0.3">
      <c r="A36" s="1">
        <v>43500</v>
      </c>
    </row>
    <row r="37" spans="1:1" x14ac:dyDescent="0.3">
      <c r="A37" s="1">
        <v>43501</v>
      </c>
    </row>
    <row r="38" spans="1:1" x14ac:dyDescent="0.3">
      <c r="A38" s="1">
        <v>43502</v>
      </c>
    </row>
    <row r="39" spans="1:1" x14ac:dyDescent="0.3">
      <c r="A39" s="1">
        <v>43503</v>
      </c>
    </row>
    <row r="40" spans="1:1" x14ac:dyDescent="0.3">
      <c r="A40" s="1">
        <v>43504</v>
      </c>
    </row>
    <row r="41" spans="1:1" x14ac:dyDescent="0.3">
      <c r="A41" s="1">
        <v>43505</v>
      </c>
    </row>
    <row r="42" spans="1:1" x14ac:dyDescent="0.3">
      <c r="A42" s="1">
        <v>43506</v>
      </c>
    </row>
    <row r="43" spans="1:1" x14ac:dyDescent="0.3">
      <c r="A43" s="1">
        <v>43507</v>
      </c>
    </row>
    <row r="44" spans="1:1" x14ac:dyDescent="0.3">
      <c r="A44" s="1">
        <v>43508</v>
      </c>
    </row>
    <row r="45" spans="1:1" x14ac:dyDescent="0.3">
      <c r="A45" s="1">
        <v>43509</v>
      </c>
    </row>
    <row r="46" spans="1:1" x14ac:dyDescent="0.3">
      <c r="A46" s="1">
        <v>43510</v>
      </c>
    </row>
    <row r="47" spans="1:1" x14ac:dyDescent="0.3">
      <c r="A47" s="1">
        <v>43511</v>
      </c>
    </row>
    <row r="48" spans="1:1" x14ac:dyDescent="0.3">
      <c r="A48" s="1">
        <v>43512</v>
      </c>
    </row>
    <row r="49" spans="1:1" x14ac:dyDescent="0.3">
      <c r="A49" s="1">
        <v>43513</v>
      </c>
    </row>
    <row r="50" spans="1:1" x14ac:dyDescent="0.3">
      <c r="A50" s="1">
        <v>43514</v>
      </c>
    </row>
    <row r="51" spans="1:1" x14ac:dyDescent="0.3">
      <c r="A51" s="1">
        <v>43515</v>
      </c>
    </row>
    <row r="52" spans="1:1" x14ac:dyDescent="0.3">
      <c r="A52" s="1">
        <v>43516</v>
      </c>
    </row>
    <row r="53" spans="1:1" x14ac:dyDescent="0.3">
      <c r="A53" s="1">
        <v>43517</v>
      </c>
    </row>
    <row r="54" spans="1:1" x14ac:dyDescent="0.3">
      <c r="A54" s="1">
        <v>43518</v>
      </c>
    </row>
    <row r="55" spans="1:1" x14ac:dyDescent="0.3">
      <c r="A55" s="1">
        <v>43519</v>
      </c>
    </row>
    <row r="56" spans="1:1" x14ac:dyDescent="0.3">
      <c r="A56" s="1">
        <v>43520</v>
      </c>
    </row>
    <row r="57" spans="1:1" x14ac:dyDescent="0.3">
      <c r="A57" s="1">
        <v>43521</v>
      </c>
    </row>
    <row r="58" spans="1:1" x14ac:dyDescent="0.3">
      <c r="A58" s="1">
        <v>43522</v>
      </c>
    </row>
    <row r="59" spans="1:1" x14ac:dyDescent="0.3">
      <c r="A59" s="1">
        <v>43523</v>
      </c>
    </row>
    <row r="60" spans="1:1" x14ac:dyDescent="0.3">
      <c r="A60" s="1">
        <v>43524</v>
      </c>
    </row>
    <row r="61" spans="1:1" x14ac:dyDescent="0.3">
      <c r="A61" s="1">
        <v>43525</v>
      </c>
    </row>
    <row r="62" spans="1:1" x14ac:dyDescent="0.3">
      <c r="A62" s="1">
        <v>43526</v>
      </c>
    </row>
    <row r="63" spans="1:1" x14ac:dyDescent="0.3">
      <c r="A63" s="1">
        <v>43527</v>
      </c>
    </row>
    <row r="64" spans="1:1" x14ac:dyDescent="0.3">
      <c r="A64" s="1">
        <v>43528</v>
      </c>
    </row>
    <row r="65" spans="1:1" x14ac:dyDescent="0.3">
      <c r="A65" s="1">
        <v>43529</v>
      </c>
    </row>
    <row r="66" spans="1:1" x14ac:dyDescent="0.3">
      <c r="A66" s="1">
        <v>43530</v>
      </c>
    </row>
    <row r="67" spans="1:1" x14ac:dyDescent="0.3">
      <c r="A67" s="1">
        <v>43531</v>
      </c>
    </row>
    <row r="68" spans="1:1" x14ac:dyDescent="0.3">
      <c r="A68" s="1">
        <v>43532</v>
      </c>
    </row>
    <row r="69" spans="1:1" x14ac:dyDescent="0.3">
      <c r="A69" s="1">
        <v>43533</v>
      </c>
    </row>
    <row r="70" spans="1:1" x14ac:dyDescent="0.3">
      <c r="A70" s="1">
        <v>43534</v>
      </c>
    </row>
    <row r="71" spans="1:1" x14ac:dyDescent="0.3">
      <c r="A71" s="1">
        <v>43535</v>
      </c>
    </row>
    <row r="72" spans="1:1" x14ac:dyDescent="0.3">
      <c r="A72" s="1">
        <v>43536</v>
      </c>
    </row>
    <row r="73" spans="1:1" x14ac:dyDescent="0.3">
      <c r="A73" s="1">
        <v>43537</v>
      </c>
    </row>
    <row r="74" spans="1:1" x14ac:dyDescent="0.3">
      <c r="A74" s="1">
        <v>43538</v>
      </c>
    </row>
    <row r="75" spans="1:1" x14ac:dyDescent="0.3">
      <c r="A75" s="1">
        <v>43539</v>
      </c>
    </row>
    <row r="76" spans="1:1" x14ac:dyDescent="0.3">
      <c r="A76" s="1">
        <v>43540</v>
      </c>
    </row>
    <row r="77" spans="1:1" x14ac:dyDescent="0.3">
      <c r="A77" s="1">
        <v>43541</v>
      </c>
    </row>
    <row r="78" spans="1:1" x14ac:dyDescent="0.3">
      <c r="A78" s="1">
        <v>43542</v>
      </c>
    </row>
    <row r="79" spans="1:1" x14ac:dyDescent="0.3">
      <c r="A79" s="1">
        <v>43543</v>
      </c>
    </row>
    <row r="80" spans="1:1" x14ac:dyDescent="0.3">
      <c r="A80" s="1">
        <v>43544</v>
      </c>
    </row>
    <row r="81" spans="1:1" x14ac:dyDescent="0.3">
      <c r="A81" s="1">
        <v>43545</v>
      </c>
    </row>
    <row r="82" spans="1:1" x14ac:dyDescent="0.3">
      <c r="A82" s="1">
        <v>43546</v>
      </c>
    </row>
    <row r="83" spans="1:1" x14ac:dyDescent="0.3">
      <c r="A83" s="1">
        <v>43547</v>
      </c>
    </row>
    <row r="84" spans="1:1" x14ac:dyDescent="0.3">
      <c r="A84" s="1">
        <v>43548</v>
      </c>
    </row>
    <row r="85" spans="1:1" x14ac:dyDescent="0.3">
      <c r="A85" s="1">
        <v>43549</v>
      </c>
    </row>
    <row r="86" spans="1:1" x14ac:dyDescent="0.3">
      <c r="A86" s="1">
        <v>43550</v>
      </c>
    </row>
    <row r="87" spans="1:1" x14ac:dyDescent="0.3">
      <c r="A87" s="1">
        <v>43551</v>
      </c>
    </row>
    <row r="88" spans="1:1" x14ac:dyDescent="0.3">
      <c r="A88" s="1">
        <v>43552</v>
      </c>
    </row>
    <row r="89" spans="1:1" x14ac:dyDescent="0.3">
      <c r="A89" s="1">
        <v>43553</v>
      </c>
    </row>
    <row r="90" spans="1:1" x14ac:dyDescent="0.3">
      <c r="A90" s="1">
        <v>43554</v>
      </c>
    </row>
    <row r="91" spans="1:1" x14ac:dyDescent="0.3">
      <c r="A91" s="1">
        <v>43555</v>
      </c>
    </row>
    <row r="92" spans="1:1" x14ac:dyDescent="0.3">
      <c r="A92" s="1">
        <v>43556</v>
      </c>
    </row>
    <row r="93" spans="1:1" x14ac:dyDescent="0.3">
      <c r="A93" s="1">
        <v>43557</v>
      </c>
    </row>
    <row r="94" spans="1:1" x14ac:dyDescent="0.3">
      <c r="A94" s="1">
        <v>43558</v>
      </c>
    </row>
    <row r="95" spans="1:1" x14ac:dyDescent="0.3">
      <c r="A95" s="1">
        <v>43559</v>
      </c>
    </row>
    <row r="96" spans="1:1" x14ac:dyDescent="0.3">
      <c r="A96" s="1">
        <v>43560</v>
      </c>
    </row>
    <row r="97" spans="1:1" x14ac:dyDescent="0.3">
      <c r="A97" s="1">
        <v>43561</v>
      </c>
    </row>
    <row r="98" spans="1:1" x14ac:dyDescent="0.3">
      <c r="A98" s="1">
        <v>43562</v>
      </c>
    </row>
    <row r="99" spans="1:1" x14ac:dyDescent="0.3">
      <c r="A99" s="1">
        <v>43563</v>
      </c>
    </row>
    <row r="100" spans="1:1" x14ac:dyDescent="0.3">
      <c r="A100" s="1">
        <v>43564</v>
      </c>
    </row>
    <row r="101" spans="1:1" x14ac:dyDescent="0.3">
      <c r="A101" s="1">
        <v>43565</v>
      </c>
    </row>
    <row r="102" spans="1:1" x14ac:dyDescent="0.3">
      <c r="A102" s="1">
        <v>43566</v>
      </c>
    </row>
    <row r="103" spans="1:1" x14ac:dyDescent="0.3">
      <c r="A103" s="1">
        <v>43567</v>
      </c>
    </row>
    <row r="104" spans="1:1" x14ac:dyDescent="0.3">
      <c r="A104" s="1">
        <v>43568</v>
      </c>
    </row>
    <row r="105" spans="1:1" x14ac:dyDescent="0.3">
      <c r="A105" s="1">
        <v>43569</v>
      </c>
    </row>
    <row r="106" spans="1:1" x14ac:dyDescent="0.3">
      <c r="A106" s="1">
        <v>43570</v>
      </c>
    </row>
    <row r="107" spans="1:1" x14ac:dyDescent="0.3">
      <c r="A107" s="1">
        <v>43571</v>
      </c>
    </row>
    <row r="108" spans="1:1" x14ac:dyDescent="0.3">
      <c r="A108" s="1">
        <v>43572</v>
      </c>
    </row>
    <row r="109" spans="1:1" x14ac:dyDescent="0.3">
      <c r="A109" s="1">
        <v>43573</v>
      </c>
    </row>
    <row r="110" spans="1:1" x14ac:dyDescent="0.3">
      <c r="A110" s="1">
        <v>43574</v>
      </c>
    </row>
    <row r="111" spans="1:1" x14ac:dyDescent="0.3">
      <c r="A111" s="1">
        <v>43575</v>
      </c>
    </row>
    <row r="112" spans="1:1" x14ac:dyDescent="0.3">
      <c r="A112" s="1">
        <v>43576</v>
      </c>
    </row>
    <row r="113" spans="1:1" x14ac:dyDescent="0.3">
      <c r="A113" s="1">
        <v>43577</v>
      </c>
    </row>
    <row r="114" spans="1:1" x14ac:dyDescent="0.3">
      <c r="A114" s="1">
        <v>43578</v>
      </c>
    </row>
    <row r="115" spans="1:1" x14ac:dyDescent="0.3">
      <c r="A115" s="1">
        <v>43579</v>
      </c>
    </row>
    <row r="116" spans="1:1" x14ac:dyDescent="0.3">
      <c r="A116" s="1">
        <v>43580</v>
      </c>
    </row>
    <row r="117" spans="1:1" x14ac:dyDescent="0.3">
      <c r="A117" s="1">
        <v>43581</v>
      </c>
    </row>
    <row r="118" spans="1:1" x14ac:dyDescent="0.3">
      <c r="A118" s="1">
        <v>43582</v>
      </c>
    </row>
    <row r="119" spans="1:1" x14ac:dyDescent="0.3">
      <c r="A119" s="1">
        <v>43583</v>
      </c>
    </row>
    <row r="120" spans="1:1" x14ac:dyDescent="0.3">
      <c r="A120" s="1">
        <v>43584</v>
      </c>
    </row>
    <row r="121" spans="1:1" x14ac:dyDescent="0.3">
      <c r="A121" s="1">
        <v>43585</v>
      </c>
    </row>
    <row r="122" spans="1:1" x14ac:dyDescent="0.3">
      <c r="A122" s="1">
        <v>43586</v>
      </c>
    </row>
    <row r="123" spans="1:1" x14ac:dyDescent="0.3">
      <c r="A123" s="1">
        <v>43587</v>
      </c>
    </row>
    <row r="124" spans="1:1" x14ac:dyDescent="0.3">
      <c r="A124" s="1">
        <v>43588</v>
      </c>
    </row>
    <row r="125" spans="1:1" x14ac:dyDescent="0.3">
      <c r="A125" s="1">
        <v>43589</v>
      </c>
    </row>
    <row r="126" spans="1:1" x14ac:dyDescent="0.3">
      <c r="A126" s="1">
        <v>43590</v>
      </c>
    </row>
    <row r="127" spans="1:1" x14ac:dyDescent="0.3">
      <c r="A127" s="1">
        <v>43591</v>
      </c>
    </row>
    <row r="128" spans="1:1" x14ac:dyDescent="0.3">
      <c r="A128" s="1">
        <v>43592</v>
      </c>
    </row>
    <row r="129" spans="1:1" x14ac:dyDescent="0.3">
      <c r="A129" s="1">
        <v>43593</v>
      </c>
    </row>
    <row r="130" spans="1:1" x14ac:dyDescent="0.3">
      <c r="A130" s="1">
        <v>43594</v>
      </c>
    </row>
    <row r="131" spans="1:1" x14ac:dyDescent="0.3">
      <c r="A131" s="1">
        <v>43595</v>
      </c>
    </row>
    <row r="132" spans="1:1" x14ac:dyDescent="0.3">
      <c r="A132" s="1">
        <v>43596</v>
      </c>
    </row>
    <row r="133" spans="1:1" x14ac:dyDescent="0.3">
      <c r="A133" s="1">
        <v>43597</v>
      </c>
    </row>
    <row r="134" spans="1:1" x14ac:dyDescent="0.3">
      <c r="A134" s="1">
        <v>43598</v>
      </c>
    </row>
    <row r="135" spans="1:1" x14ac:dyDescent="0.3">
      <c r="A135" s="1">
        <v>43599</v>
      </c>
    </row>
    <row r="136" spans="1:1" x14ac:dyDescent="0.3">
      <c r="A136" s="1">
        <v>43600</v>
      </c>
    </row>
    <row r="137" spans="1:1" x14ac:dyDescent="0.3">
      <c r="A137" s="1">
        <v>43601</v>
      </c>
    </row>
    <row r="138" spans="1:1" x14ac:dyDescent="0.3">
      <c r="A138" s="1">
        <v>43602</v>
      </c>
    </row>
    <row r="139" spans="1:1" x14ac:dyDescent="0.3">
      <c r="A139" s="1">
        <v>43603</v>
      </c>
    </row>
    <row r="140" spans="1:1" x14ac:dyDescent="0.3">
      <c r="A140" s="1">
        <v>43604</v>
      </c>
    </row>
    <row r="141" spans="1:1" x14ac:dyDescent="0.3">
      <c r="A141" s="1">
        <v>43605</v>
      </c>
    </row>
    <row r="142" spans="1:1" x14ac:dyDescent="0.3">
      <c r="A142" s="1">
        <v>43606</v>
      </c>
    </row>
    <row r="143" spans="1:1" x14ac:dyDescent="0.3">
      <c r="A143" s="1">
        <v>43607</v>
      </c>
    </row>
    <row r="144" spans="1:1" x14ac:dyDescent="0.3">
      <c r="A144" s="1">
        <v>43608</v>
      </c>
    </row>
    <row r="145" spans="1:1" x14ac:dyDescent="0.3">
      <c r="A145" s="1">
        <v>43609</v>
      </c>
    </row>
    <row r="146" spans="1:1" x14ac:dyDescent="0.3">
      <c r="A146" s="1">
        <v>43610</v>
      </c>
    </row>
    <row r="147" spans="1:1" x14ac:dyDescent="0.3">
      <c r="A147" s="1">
        <v>43611</v>
      </c>
    </row>
    <row r="148" spans="1:1" x14ac:dyDescent="0.3">
      <c r="A148" s="1">
        <v>43612</v>
      </c>
    </row>
    <row r="149" spans="1:1" x14ac:dyDescent="0.3">
      <c r="A149" s="1">
        <v>43613</v>
      </c>
    </row>
    <row r="150" spans="1:1" x14ac:dyDescent="0.3">
      <c r="A150" s="1">
        <v>43614</v>
      </c>
    </row>
    <row r="151" spans="1:1" x14ac:dyDescent="0.3">
      <c r="A151" s="1">
        <v>43615</v>
      </c>
    </row>
    <row r="152" spans="1:1" x14ac:dyDescent="0.3">
      <c r="A152" s="1">
        <v>43616</v>
      </c>
    </row>
    <row r="153" spans="1:1" x14ac:dyDescent="0.3">
      <c r="A153" s="1">
        <v>43617</v>
      </c>
    </row>
    <row r="154" spans="1:1" x14ac:dyDescent="0.3">
      <c r="A154" s="1">
        <v>43618</v>
      </c>
    </row>
    <row r="155" spans="1:1" x14ac:dyDescent="0.3">
      <c r="A155" s="1">
        <v>43619</v>
      </c>
    </row>
    <row r="156" spans="1:1" x14ac:dyDescent="0.3">
      <c r="A156" s="1">
        <v>43620</v>
      </c>
    </row>
    <row r="157" spans="1:1" x14ac:dyDescent="0.3">
      <c r="A157" s="1">
        <v>43621</v>
      </c>
    </row>
    <row r="158" spans="1:1" x14ac:dyDescent="0.3">
      <c r="A158" s="1">
        <v>43622</v>
      </c>
    </row>
    <row r="159" spans="1:1" x14ac:dyDescent="0.3">
      <c r="A159" s="1">
        <v>43623</v>
      </c>
    </row>
    <row r="160" spans="1:1" x14ac:dyDescent="0.3">
      <c r="A160" s="1">
        <v>43624</v>
      </c>
    </row>
    <row r="161" spans="1:1" x14ac:dyDescent="0.3">
      <c r="A161" s="1">
        <v>43625</v>
      </c>
    </row>
    <row r="162" spans="1:1" x14ac:dyDescent="0.3">
      <c r="A162" s="1">
        <v>43626</v>
      </c>
    </row>
    <row r="163" spans="1:1" x14ac:dyDescent="0.3">
      <c r="A163" s="1">
        <v>43627</v>
      </c>
    </row>
    <row r="164" spans="1:1" x14ac:dyDescent="0.3">
      <c r="A164" s="1">
        <v>43628</v>
      </c>
    </row>
    <row r="165" spans="1:1" x14ac:dyDescent="0.3">
      <c r="A165" s="1">
        <v>43629</v>
      </c>
    </row>
    <row r="166" spans="1:1" x14ac:dyDescent="0.3">
      <c r="A166" s="1">
        <v>43630</v>
      </c>
    </row>
    <row r="167" spans="1:1" x14ac:dyDescent="0.3">
      <c r="A167" s="1">
        <v>43631</v>
      </c>
    </row>
    <row r="168" spans="1:1" x14ac:dyDescent="0.3">
      <c r="A168" s="1">
        <v>43632</v>
      </c>
    </row>
    <row r="169" spans="1:1" x14ac:dyDescent="0.3">
      <c r="A169" s="1">
        <v>43633</v>
      </c>
    </row>
    <row r="170" spans="1:1" x14ac:dyDescent="0.3">
      <c r="A170" s="1">
        <v>43634</v>
      </c>
    </row>
    <row r="171" spans="1:1" x14ac:dyDescent="0.3">
      <c r="A171" s="1">
        <v>43635</v>
      </c>
    </row>
    <row r="172" spans="1:1" x14ac:dyDescent="0.3">
      <c r="A172" s="1">
        <v>43636</v>
      </c>
    </row>
    <row r="173" spans="1:1" x14ac:dyDescent="0.3">
      <c r="A173" s="1">
        <v>43637</v>
      </c>
    </row>
    <row r="174" spans="1:1" x14ac:dyDescent="0.3">
      <c r="A174" s="1">
        <v>43638</v>
      </c>
    </row>
    <row r="175" spans="1:1" x14ac:dyDescent="0.3">
      <c r="A175" s="1">
        <v>43639</v>
      </c>
    </row>
    <row r="176" spans="1:1" x14ac:dyDescent="0.3">
      <c r="A176" s="1">
        <v>43640</v>
      </c>
    </row>
    <row r="177" spans="1:1" x14ac:dyDescent="0.3">
      <c r="A177" s="1">
        <v>43641</v>
      </c>
    </row>
    <row r="178" spans="1:1" x14ac:dyDescent="0.3">
      <c r="A178" s="1">
        <v>43642</v>
      </c>
    </row>
    <row r="179" spans="1:1" x14ac:dyDescent="0.3">
      <c r="A179" s="1">
        <v>43643</v>
      </c>
    </row>
    <row r="180" spans="1:1" x14ac:dyDescent="0.3">
      <c r="A180" s="1">
        <v>43644</v>
      </c>
    </row>
    <row r="181" spans="1:1" x14ac:dyDescent="0.3">
      <c r="A181" s="1">
        <v>43645</v>
      </c>
    </row>
    <row r="182" spans="1:1" x14ac:dyDescent="0.3">
      <c r="A182" s="1">
        <v>43646</v>
      </c>
    </row>
    <row r="183" spans="1:1" x14ac:dyDescent="0.3">
      <c r="A183" s="1">
        <v>43647</v>
      </c>
    </row>
    <row r="184" spans="1:1" x14ac:dyDescent="0.3">
      <c r="A184" s="1">
        <v>43648</v>
      </c>
    </row>
    <row r="185" spans="1:1" x14ac:dyDescent="0.3">
      <c r="A185" s="1">
        <v>43649</v>
      </c>
    </row>
    <row r="186" spans="1:1" x14ac:dyDescent="0.3">
      <c r="A186" s="1">
        <v>43650</v>
      </c>
    </row>
    <row r="187" spans="1:1" x14ac:dyDescent="0.3">
      <c r="A187" s="1">
        <v>43651</v>
      </c>
    </row>
    <row r="188" spans="1:1" x14ac:dyDescent="0.3">
      <c r="A188" s="1">
        <v>43652</v>
      </c>
    </row>
    <row r="189" spans="1:1" x14ac:dyDescent="0.3">
      <c r="A189" s="1">
        <v>43653</v>
      </c>
    </row>
    <row r="190" spans="1:1" x14ac:dyDescent="0.3">
      <c r="A190" s="1">
        <v>43654</v>
      </c>
    </row>
    <row r="191" spans="1:1" x14ac:dyDescent="0.3">
      <c r="A191" s="1">
        <v>43655</v>
      </c>
    </row>
    <row r="192" spans="1:1" x14ac:dyDescent="0.3">
      <c r="A192" s="1">
        <v>43656</v>
      </c>
    </row>
    <row r="193" spans="1:1" x14ac:dyDescent="0.3">
      <c r="A193" s="1">
        <v>43657</v>
      </c>
    </row>
    <row r="194" spans="1:1" x14ac:dyDescent="0.3">
      <c r="A194" s="1">
        <v>43658</v>
      </c>
    </row>
    <row r="195" spans="1:1" x14ac:dyDescent="0.3">
      <c r="A195" s="1">
        <v>43659</v>
      </c>
    </row>
    <row r="196" spans="1:1" x14ac:dyDescent="0.3">
      <c r="A196" s="1">
        <v>43660</v>
      </c>
    </row>
    <row r="197" spans="1:1" x14ac:dyDescent="0.3">
      <c r="A197" s="1">
        <v>43661</v>
      </c>
    </row>
    <row r="198" spans="1:1" x14ac:dyDescent="0.3">
      <c r="A198" s="1">
        <v>43662</v>
      </c>
    </row>
    <row r="199" spans="1:1" x14ac:dyDescent="0.3">
      <c r="A199" s="1">
        <v>43663</v>
      </c>
    </row>
    <row r="200" spans="1:1" x14ac:dyDescent="0.3">
      <c r="A200" s="1">
        <v>43664</v>
      </c>
    </row>
    <row r="201" spans="1:1" x14ac:dyDescent="0.3">
      <c r="A201" s="1">
        <v>43665</v>
      </c>
    </row>
    <row r="202" spans="1:1" x14ac:dyDescent="0.3">
      <c r="A202" s="1">
        <v>43666</v>
      </c>
    </row>
    <row r="203" spans="1:1" x14ac:dyDescent="0.3">
      <c r="A203" s="1">
        <v>43667</v>
      </c>
    </row>
    <row r="204" spans="1:1" x14ac:dyDescent="0.3">
      <c r="A204" s="1">
        <v>43668</v>
      </c>
    </row>
    <row r="205" spans="1:1" x14ac:dyDescent="0.3">
      <c r="A205" s="1">
        <v>43669</v>
      </c>
    </row>
    <row r="206" spans="1:1" x14ac:dyDescent="0.3">
      <c r="A206" s="1">
        <v>43670</v>
      </c>
    </row>
    <row r="207" spans="1:1" x14ac:dyDescent="0.3">
      <c r="A207" s="1">
        <v>43671</v>
      </c>
    </row>
    <row r="208" spans="1:1" x14ac:dyDescent="0.3">
      <c r="A208" s="1">
        <v>43672</v>
      </c>
    </row>
    <row r="209" spans="1:1" x14ac:dyDescent="0.3">
      <c r="A209" s="1">
        <v>43673</v>
      </c>
    </row>
    <row r="210" spans="1:1" x14ac:dyDescent="0.3">
      <c r="A210" s="1">
        <v>43674</v>
      </c>
    </row>
    <row r="211" spans="1:1" x14ac:dyDescent="0.3">
      <c r="A211" s="1">
        <v>43675</v>
      </c>
    </row>
    <row r="212" spans="1:1" x14ac:dyDescent="0.3">
      <c r="A212" s="1">
        <v>43676</v>
      </c>
    </row>
    <row r="213" spans="1:1" x14ac:dyDescent="0.3">
      <c r="A213" s="1">
        <v>43677</v>
      </c>
    </row>
    <row r="214" spans="1:1" x14ac:dyDescent="0.3">
      <c r="A214" s="1">
        <v>43678</v>
      </c>
    </row>
    <row r="215" spans="1:1" x14ac:dyDescent="0.3">
      <c r="A215" s="1">
        <v>43679</v>
      </c>
    </row>
    <row r="216" spans="1:1" x14ac:dyDescent="0.3">
      <c r="A216" s="1">
        <v>43680</v>
      </c>
    </row>
    <row r="217" spans="1:1" x14ac:dyDescent="0.3">
      <c r="A217" s="1">
        <v>43681</v>
      </c>
    </row>
    <row r="218" spans="1:1" x14ac:dyDescent="0.3">
      <c r="A218" s="1">
        <v>43682</v>
      </c>
    </row>
    <row r="219" spans="1:1" x14ac:dyDescent="0.3">
      <c r="A219" s="1">
        <v>43683</v>
      </c>
    </row>
    <row r="220" spans="1:1" x14ac:dyDescent="0.3">
      <c r="A220" s="1">
        <v>43684</v>
      </c>
    </row>
    <row r="221" spans="1:1" x14ac:dyDescent="0.3">
      <c r="A221" s="1">
        <v>43685</v>
      </c>
    </row>
    <row r="222" spans="1:1" x14ac:dyDescent="0.3">
      <c r="A222" s="1">
        <v>43686</v>
      </c>
    </row>
    <row r="223" spans="1:1" x14ac:dyDescent="0.3">
      <c r="A223" s="1">
        <v>43687</v>
      </c>
    </row>
    <row r="224" spans="1:1" x14ac:dyDescent="0.3">
      <c r="A224" s="1">
        <v>43688</v>
      </c>
    </row>
    <row r="225" spans="1:1" x14ac:dyDescent="0.3">
      <c r="A225" s="1">
        <v>43689</v>
      </c>
    </row>
    <row r="226" spans="1:1" x14ac:dyDescent="0.3">
      <c r="A226" s="1">
        <v>43690</v>
      </c>
    </row>
    <row r="227" spans="1:1" x14ac:dyDescent="0.3">
      <c r="A227" s="1">
        <v>43691</v>
      </c>
    </row>
    <row r="228" spans="1:1" x14ac:dyDescent="0.3">
      <c r="A228" s="1">
        <v>43692</v>
      </c>
    </row>
    <row r="229" spans="1:1" x14ac:dyDescent="0.3">
      <c r="A229" s="1">
        <v>43693</v>
      </c>
    </row>
    <row r="230" spans="1:1" x14ac:dyDescent="0.3">
      <c r="A230" s="1">
        <v>43694</v>
      </c>
    </row>
    <row r="231" spans="1:1" x14ac:dyDescent="0.3">
      <c r="A231" s="1">
        <v>43695</v>
      </c>
    </row>
    <row r="232" spans="1:1" x14ac:dyDescent="0.3">
      <c r="A232" s="1">
        <v>43696</v>
      </c>
    </row>
    <row r="233" spans="1:1" x14ac:dyDescent="0.3">
      <c r="A233" s="1">
        <v>43697</v>
      </c>
    </row>
    <row r="234" spans="1:1" x14ac:dyDescent="0.3">
      <c r="A234" s="1">
        <v>43698</v>
      </c>
    </row>
    <row r="235" spans="1:1" x14ac:dyDescent="0.3">
      <c r="A235" s="1">
        <v>43699</v>
      </c>
    </row>
    <row r="236" spans="1:1" x14ac:dyDescent="0.3">
      <c r="A236" s="1">
        <v>43700</v>
      </c>
    </row>
    <row r="237" spans="1:1" x14ac:dyDescent="0.3">
      <c r="A237" s="1">
        <v>43701</v>
      </c>
    </row>
    <row r="238" spans="1:1" x14ac:dyDescent="0.3">
      <c r="A238" s="1">
        <v>43702</v>
      </c>
    </row>
    <row r="239" spans="1:1" x14ac:dyDescent="0.3">
      <c r="A239" s="1">
        <v>43703</v>
      </c>
    </row>
    <row r="240" spans="1:1" x14ac:dyDescent="0.3">
      <c r="A240" s="1">
        <v>43704</v>
      </c>
    </row>
    <row r="241" spans="1:1" x14ac:dyDescent="0.3">
      <c r="A241" s="1">
        <v>43705</v>
      </c>
    </row>
    <row r="242" spans="1:1" x14ac:dyDescent="0.3">
      <c r="A242" s="1">
        <v>43706</v>
      </c>
    </row>
    <row r="243" spans="1:1" x14ac:dyDescent="0.3">
      <c r="A243" s="1">
        <v>43707</v>
      </c>
    </row>
    <row r="244" spans="1:1" x14ac:dyDescent="0.3">
      <c r="A244" s="1">
        <v>43708</v>
      </c>
    </row>
    <row r="245" spans="1:1" x14ac:dyDescent="0.3">
      <c r="A245" s="1">
        <v>43709</v>
      </c>
    </row>
    <row r="246" spans="1:1" x14ac:dyDescent="0.3">
      <c r="A246" s="1">
        <v>43710</v>
      </c>
    </row>
    <row r="247" spans="1:1" x14ac:dyDescent="0.3">
      <c r="A247" s="1">
        <v>43711</v>
      </c>
    </row>
    <row r="248" spans="1:1" x14ac:dyDescent="0.3">
      <c r="A248" s="1">
        <v>43712</v>
      </c>
    </row>
    <row r="249" spans="1:1" x14ac:dyDescent="0.3">
      <c r="A249" s="1">
        <v>43713</v>
      </c>
    </row>
    <row r="250" spans="1:1" x14ac:dyDescent="0.3">
      <c r="A250" s="1">
        <v>43714</v>
      </c>
    </row>
    <row r="251" spans="1:1" x14ac:dyDescent="0.3">
      <c r="A251" s="1">
        <v>43715</v>
      </c>
    </row>
    <row r="252" spans="1:1" x14ac:dyDescent="0.3">
      <c r="A252" s="1">
        <v>43716</v>
      </c>
    </row>
    <row r="253" spans="1:1" x14ac:dyDescent="0.3">
      <c r="A253" s="1">
        <v>43717</v>
      </c>
    </row>
    <row r="254" spans="1:1" x14ac:dyDescent="0.3">
      <c r="A254" s="1">
        <v>43718</v>
      </c>
    </row>
    <row r="255" spans="1:1" x14ac:dyDescent="0.3">
      <c r="A255" s="1">
        <v>43719</v>
      </c>
    </row>
    <row r="256" spans="1:1" x14ac:dyDescent="0.3">
      <c r="A256" s="1">
        <v>43720</v>
      </c>
    </row>
    <row r="257" spans="1:1" x14ac:dyDescent="0.3">
      <c r="A257" s="1">
        <v>43721</v>
      </c>
    </row>
    <row r="258" spans="1:1" x14ac:dyDescent="0.3">
      <c r="A258" s="1">
        <v>43722</v>
      </c>
    </row>
    <row r="259" spans="1:1" x14ac:dyDescent="0.3">
      <c r="A259" s="1">
        <v>43723</v>
      </c>
    </row>
    <row r="260" spans="1:1" x14ac:dyDescent="0.3">
      <c r="A260" s="1">
        <v>43724</v>
      </c>
    </row>
    <row r="261" spans="1:1" x14ac:dyDescent="0.3">
      <c r="A261" s="1">
        <v>43725</v>
      </c>
    </row>
    <row r="262" spans="1:1" x14ac:dyDescent="0.3">
      <c r="A262" s="1">
        <v>43726</v>
      </c>
    </row>
    <row r="263" spans="1:1" x14ac:dyDescent="0.3">
      <c r="A263" s="1">
        <v>43727</v>
      </c>
    </row>
    <row r="264" spans="1:1" x14ac:dyDescent="0.3">
      <c r="A264" s="1">
        <v>43728</v>
      </c>
    </row>
    <row r="265" spans="1:1" x14ac:dyDescent="0.3">
      <c r="A265" s="1">
        <v>43729</v>
      </c>
    </row>
    <row r="266" spans="1:1" x14ac:dyDescent="0.3">
      <c r="A266" s="1">
        <v>43730</v>
      </c>
    </row>
    <row r="267" spans="1:1" x14ac:dyDescent="0.3">
      <c r="A267" s="1">
        <v>43731</v>
      </c>
    </row>
    <row r="268" spans="1:1" x14ac:dyDescent="0.3">
      <c r="A268" s="1">
        <v>43732</v>
      </c>
    </row>
    <row r="269" spans="1:1" x14ac:dyDescent="0.3">
      <c r="A269" s="1">
        <v>43733</v>
      </c>
    </row>
    <row r="270" spans="1:1" x14ac:dyDescent="0.3">
      <c r="A270" s="1">
        <v>43734</v>
      </c>
    </row>
    <row r="271" spans="1:1" x14ac:dyDescent="0.3">
      <c r="A271" s="1">
        <v>43735</v>
      </c>
    </row>
    <row r="272" spans="1:1" x14ac:dyDescent="0.3">
      <c r="A272" s="1">
        <v>43736</v>
      </c>
    </row>
    <row r="273" spans="1:1" x14ac:dyDescent="0.3">
      <c r="A273" s="1">
        <v>43737</v>
      </c>
    </row>
    <row r="274" spans="1:1" x14ac:dyDescent="0.3">
      <c r="A274" s="1">
        <v>43738</v>
      </c>
    </row>
    <row r="275" spans="1:1" x14ac:dyDescent="0.3">
      <c r="A275" s="1">
        <v>43739</v>
      </c>
    </row>
    <row r="276" spans="1:1" x14ac:dyDescent="0.3">
      <c r="A276" s="1">
        <v>43740</v>
      </c>
    </row>
    <row r="277" spans="1:1" x14ac:dyDescent="0.3">
      <c r="A277" s="1">
        <v>43741</v>
      </c>
    </row>
    <row r="278" spans="1:1" x14ac:dyDescent="0.3">
      <c r="A278" s="1">
        <v>43742</v>
      </c>
    </row>
    <row r="279" spans="1:1" x14ac:dyDescent="0.3">
      <c r="A279" s="1">
        <v>43743</v>
      </c>
    </row>
    <row r="280" spans="1:1" x14ac:dyDescent="0.3">
      <c r="A280" s="1">
        <v>43744</v>
      </c>
    </row>
    <row r="281" spans="1:1" x14ac:dyDescent="0.3">
      <c r="A281" s="1">
        <v>43745</v>
      </c>
    </row>
    <row r="282" spans="1:1" x14ac:dyDescent="0.3">
      <c r="A282" s="1">
        <v>43746</v>
      </c>
    </row>
    <row r="283" spans="1:1" x14ac:dyDescent="0.3">
      <c r="A283" s="1">
        <v>43747</v>
      </c>
    </row>
    <row r="284" spans="1:1" x14ac:dyDescent="0.3">
      <c r="A284" s="1">
        <v>43748</v>
      </c>
    </row>
    <row r="285" spans="1:1" x14ac:dyDescent="0.3">
      <c r="A285" s="1">
        <v>43749</v>
      </c>
    </row>
    <row r="286" spans="1:1" x14ac:dyDescent="0.3">
      <c r="A286" s="1">
        <v>43750</v>
      </c>
    </row>
    <row r="287" spans="1:1" x14ac:dyDescent="0.3">
      <c r="A287" s="1">
        <v>43751</v>
      </c>
    </row>
    <row r="288" spans="1:1" x14ac:dyDescent="0.3">
      <c r="A288" s="1">
        <v>43752</v>
      </c>
    </row>
    <row r="289" spans="1:1" x14ac:dyDescent="0.3">
      <c r="A289" s="1">
        <v>43753</v>
      </c>
    </row>
    <row r="290" spans="1:1" x14ac:dyDescent="0.3">
      <c r="A290" s="1">
        <v>43754</v>
      </c>
    </row>
    <row r="291" spans="1:1" x14ac:dyDescent="0.3">
      <c r="A291" s="1">
        <v>43755</v>
      </c>
    </row>
    <row r="292" spans="1:1" x14ac:dyDescent="0.3">
      <c r="A292" s="1">
        <v>43756</v>
      </c>
    </row>
    <row r="293" spans="1:1" x14ac:dyDescent="0.3">
      <c r="A293" s="1">
        <v>43757</v>
      </c>
    </row>
    <row r="294" spans="1:1" x14ac:dyDescent="0.3">
      <c r="A294" s="1">
        <v>43758</v>
      </c>
    </row>
    <row r="295" spans="1:1" x14ac:dyDescent="0.3">
      <c r="A295" s="1">
        <v>43759</v>
      </c>
    </row>
    <row r="296" spans="1:1" x14ac:dyDescent="0.3">
      <c r="A296" s="1">
        <v>43760</v>
      </c>
    </row>
    <row r="297" spans="1:1" x14ac:dyDescent="0.3">
      <c r="A297" s="1">
        <v>43761</v>
      </c>
    </row>
    <row r="298" spans="1:1" x14ac:dyDescent="0.3">
      <c r="A298" s="1">
        <v>43762</v>
      </c>
    </row>
    <row r="299" spans="1:1" x14ac:dyDescent="0.3">
      <c r="A299" s="1">
        <v>43763</v>
      </c>
    </row>
    <row r="300" spans="1:1" x14ac:dyDescent="0.3">
      <c r="A300" s="1">
        <v>43764</v>
      </c>
    </row>
    <row r="301" spans="1:1" x14ac:dyDescent="0.3">
      <c r="A301" s="1">
        <v>43765</v>
      </c>
    </row>
    <row r="302" spans="1:1" x14ac:dyDescent="0.3">
      <c r="A302" s="1">
        <v>43766</v>
      </c>
    </row>
    <row r="303" spans="1:1" x14ac:dyDescent="0.3">
      <c r="A303" s="1">
        <v>43767</v>
      </c>
    </row>
    <row r="304" spans="1:1" x14ac:dyDescent="0.3">
      <c r="A304" s="1">
        <v>43768</v>
      </c>
    </row>
    <row r="305" spans="1:1" x14ac:dyDescent="0.3">
      <c r="A305" s="1">
        <v>43769</v>
      </c>
    </row>
    <row r="306" spans="1:1" x14ac:dyDescent="0.3">
      <c r="A306" s="1">
        <v>43770</v>
      </c>
    </row>
    <row r="307" spans="1:1" x14ac:dyDescent="0.3">
      <c r="A307" s="1">
        <v>43771</v>
      </c>
    </row>
    <row r="308" spans="1:1" x14ac:dyDescent="0.3">
      <c r="A308" s="1">
        <v>43772</v>
      </c>
    </row>
    <row r="309" spans="1:1" x14ac:dyDescent="0.3">
      <c r="A309" s="1">
        <v>43773</v>
      </c>
    </row>
    <row r="310" spans="1:1" x14ac:dyDescent="0.3">
      <c r="A310" s="1">
        <v>43774</v>
      </c>
    </row>
    <row r="311" spans="1:1" x14ac:dyDescent="0.3">
      <c r="A311" s="1">
        <v>43775</v>
      </c>
    </row>
    <row r="312" spans="1:1" x14ac:dyDescent="0.3">
      <c r="A312" s="1">
        <v>43776</v>
      </c>
    </row>
    <row r="313" spans="1:1" x14ac:dyDescent="0.3">
      <c r="A313" s="1">
        <v>43777</v>
      </c>
    </row>
    <row r="314" spans="1:1" x14ac:dyDescent="0.3">
      <c r="A314" s="1">
        <v>43778</v>
      </c>
    </row>
    <row r="315" spans="1:1" x14ac:dyDescent="0.3">
      <c r="A315" s="1">
        <v>43779</v>
      </c>
    </row>
    <row r="316" spans="1:1" x14ac:dyDescent="0.3">
      <c r="A316" s="1">
        <v>43780</v>
      </c>
    </row>
    <row r="317" spans="1:1" x14ac:dyDescent="0.3">
      <c r="A317" s="1">
        <v>43781</v>
      </c>
    </row>
    <row r="318" spans="1:1" x14ac:dyDescent="0.3">
      <c r="A318" s="1">
        <v>43782</v>
      </c>
    </row>
    <row r="319" spans="1:1" x14ac:dyDescent="0.3">
      <c r="A319" s="1">
        <v>43783</v>
      </c>
    </row>
    <row r="320" spans="1:1" x14ac:dyDescent="0.3">
      <c r="A320" s="1">
        <v>43784</v>
      </c>
    </row>
    <row r="321" spans="1:1" x14ac:dyDescent="0.3">
      <c r="A321" s="1">
        <v>43785</v>
      </c>
    </row>
    <row r="322" spans="1:1" x14ac:dyDescent="0.3">
      <c r="A322" s="1">
        <v>43786</v>
      </c>
    </row>
    <row r="323" spans="1:1" x14ac:dyDescent="0.3">
      <c r="A323" s="1">
        <v>43787</v>
      </c>
    </row>
    <row r="324" spans="1:1" x14ac:dyDescent="0.3">
      <c r="A324" s="1">
        <v>43788</v>
      </c>
    </row>
    <row r="325" spans="1:1" x14ac:dyDescent="0.3">
      <c r="A325" s="1">
        <v>43789</v>
      </c>
    </row>
    <row r="326" spans="1:1" x14ac:dyDescent="0.3">
      <c r="A326" s="1">
        <v>43790</v>
      </c>
    </row>
    <row r="327" spans="1:1" x14ac:dyDescent="0.3">
      <c r="A327" s="1">
        <v>43791</v>
      </c>
    </row>
    <row r="328" spans="1:1" x14ac:dyDescent="0.3">
      <c r="A328" s="1">
        <v>43792</v>
      </c>
    </row>
    <row r="329" spans="1:1" x14ac:dyDescent="0.3">
      <c r="A329" s="1">
        <v>43793</v>
      </c>
    </row>
    <row r="330" spans="1:1" x14ac:dyDescent="0.3">
      <c r="A330" s="1">
        <v>43794</v>
      </c>
    </row>
    <row r="331" spans="1:1" x14ac:dyDescent="0.3">
      <c r="A331" s="1">
        <v>43795</v>
      </c>
    </row>
    <row r="332" spans="1:1" x14ac:dyDescent="0.3">
      <c r="A332" s="1">
        <v>43796</v>
      </c>
    </row>
    <row r="333" spans="1:1" x14ac:dyDescent="0.3">
      <c r="A333" s="1">
        <v>43797</v>
      </c>
    </row>
    <row r="334" spans="1:1" x14ac:dyDescent="0.3">
      <c r="A334" s="1">
        <v>43798</v>
      </c>
    </row>
    <row r="335" spans="1:1" x14ac:dyDescent="0.3">
      <c r="A335" s="1">
        <v>43799</v>
      </c>
    </row>
    <row r="336" spans="1:1" x14ac:dyDescent="0.3">
      <c r="A336" s="1">
        <v>43800</v>
      </c>
    </row>
    <row r="337" spans="1:1" x14ac:dyDescent="0.3">
      <c r="A337" s="1">
        <v>43801</v>
      </c>
    </row>
    <row r="338" spans="1:1" x14ac:dyDescent="0.3">
      <c r="A338" s="1">
        <v>43802</v>
      </c>
    </row>
    <row r="339" spans="1:1" x14ac:dyDescent="0.3">
      <c r="A339" s="1">
        <v>43803</v>
      </c>
    </row>
    <row r="340" spans="1:1" x14ac:dyDescent="0.3">
      <c r="A340" s="1">
        <v>43804</v>
      </c>
    </row>
    <row r="341" spans="1:1" x14ac:dyDescent="0.3">
      <c r="A341" s="1">
        <v>43805</v>
      </c>
    </row>
    <row r="342" spans="1:1" x14ac:dyDescent="0.3">
      <c r="A342" s="1">
        <v>43806</v>
      </c>
    </row>
    <row r="343" spans="1:1" x14ac:dyDescent="0.3">
      <c r="A343" s="1">
        <v>43807</v>
      </c>
    </row>
    <row r="344" spans="1:1" x14ac:dyDescent="0.3">
      <c r="A344" s="1">
        <v>43808</v>
      </c>
    </row>
    <row r="345" spans="1:1" x14ac:dyDescent="0.3">
      <c r="A345" s="1">
        <v>43809</v>
      </c>
    </row>
    <row r="346" spans="1:1" x14ac:dyDescent="0.3">
      <c r="A346" s="1">
        <v>43810</v>
      </c>
    </row>
    <row r="347" spans="1:1" x14ac:dyDescent="0.3">
      <c r="A347" s="1">
        <v>43811</v>
      </c>
    </row>
    <row r="348" spans="1:1" x14ac:dyDescent="0.3">
      <c r="A348" s="1">
        <v>43812</v>
      </c>
    </row>
    <row r="349" spans="1:1" x14ac:dyDescent="0.3">
      <c r="A349" s="1">
        <v>43813</v>
      </c>
    </row>
    <row r="350" spans="1:1" x14ac:dyDescent="0.3">
      <c r="A350" s="1">
        <v>43814</v>
      </c>
    </row>
    <row r="351" spans="1:1" x14ac:dyDescent="0.3">
      <c r="A351" s="1">
        <v>43815</v>
      </c>
    </row>
    <row r="352" spans="1:1" x14ac:dyDescent="0.3">
      <c r="A352" s="1">
        <v>43816</v>
      </c>
    </row>
    <row r="353" spans="1:1" x14ac:dyDescent="0.3">
      <c r="A353" s="1">
        <v>43817</v>
      </c>
    </row>
    <row r="354" spans="1:1" x14ac:dyDescent="0.3">
      <c r="A354" s="1">
        <v>43818</v>
      </c>
    </row>
    <row r="355" spans="1:1" x14ac:dyDescent="0.3">
      <c r="A355" s="1">
        <v>43819</v>
      </c>
    </row>
    <row r="356" spans="1:1" x14ac:dyDescent="0.3">
      <c r="A356" s="1">
        <v>43820</v>
      </c>
    </row>
    <row r="357" spans="1:1" x14ac:dyDescent="0.3">
      <c r="A357" s="1">
        <v>43821</v>
      </c>
    </row>
    <row r="358" spans="1:1" x14ac:dyDescent="0.3">
      <c r="A358" s="1">
        <v>43822</v>
      </c>
    </row>
    <row r="359" spans="1:1" x14ac:dyDescent="0.3">
      <c r="A359" s="1">
        <v>43823</v>
      </c>
    </row>
    <row r="360" spans="1:1" x14ac:dyDescent="0.3">
      <c r="A360" s="1">
        <v>43824</v>
      </c>
    </row>
    <row r="361" spans="1:1" x14ac:dyDescent="0.3">
      <c r="A361" s="1">
        <v>43825</v>
      </c>
    </row>
    <row r="362" spans="1:1" x14ac:dyDescent="0.3">
      <c r="A362" s="1">
        <v>43826</v>
      </c>
    </row>
    <row r="363" spans="1:1" x14ac:dyDescent="0.3">
      <c r="A363" s="1">
        <v>43827</v>
      </c>
    </row>
    <row r="364" spans="1:1" x14ac:dyDescent="0.3">
      <c r="A364" s="1">
        <v>43828</v>
      </c>
    </row>
    <row r="365" spans="1:1" x14ac:dyDescent="0.3">
      <c r="A365" s="1">
        <v>43829</v>
      </c>
    </row>
    <row r="366" spans="1:1" x14ac:dyDescent="0.3">
      <c r="A366" s="1">
        <v>43830</v>
      </c>
    </row>
    <row r="367" spans="1:1" x14ac:dyDescent="0.3">
      <c r="A367" s="1">
        <v>43831</v>
      </c>
    </row>
    <row r="368" spans="1:1" x14ac:dyDescent="0.3">
      <c r="A368" s="1">
        <v>43832</v>
      </c>
    </row>
    <row r="369" spans="1:1" x14ac:dyDescent="0.3">
      <c r="A369" s="1">
        <v>43833</v>
      </c>
    </row>
    <row r="370" spans="1:1" x14ac:dyDescent="0.3">
      <c r="A370" s="1">
        <v>43834</v>
      </c>
    </row>
    <row r="371" spans="1:1" x14ac:dyDescent="0.3">
      <c r="A371" s="1">
        <v>43835</v>
      </c>
    </row>
    <row r="372" spans="1:1" x14ac:dyDescent="0.3">
      <c r="A372" s="1">
        <v>43836</v>
      </c>
    </row>
    <row r="373" spans="1:1" x14ac:dyDescent="0.3">
      <c r="A373" s="1">
        <v>43837</v>
      </c>
    </row>
    <row r="374" spans="1:1" x14ac:dyDescent="0.3">
      <c r="A374" s="1">
        <v>43838</v>
      </c>
    </row>
    <row r="375" spans="1:1" x14ac:dyDescent="0.3">
      <c r="A375" s="1">
        <v>43839</v>
      </c>
    </row>
    <row r="376" spans="1:1" x14ac:dyDescent="0.3">
      <c r="A376" s="1">
        <v>43840</v>
      </c>
    </row>
    <row r="377" spans="1:1" x14ac:dyDescent="0.3">
      <c r="A377" s="1">
        <v>43841</v>
      </c>
    </row>
    <row r="378" spans="1:1" x14ac:dyDescent="0.3">
      <c r="A378" s="1">
        <v>43842</v>
      </c>
    </row>
    <row r="379" spans="1:1" x14ac:dyDescent="0.3">
      <c r="A379" s="1">
        <v>43843</v>
      </c>
    </row>
    <row r="380" spans="1:1" x14ac:dyDescent="0.3">
      <c r="A380" s="1">
        <v>43844</v>
      </c>
    </row>
    <row r="381" spans="1:1" x14ac:dyDescent="0.3">
      <c r="A381" s="1">
        <v>43845</v>
      </c>
    </row>
    <row r="382" spans="1:1" x14ac:dyDescent="0.3">
      <c r="A382" s="1">
        <v>43846</v>
      </c>
    </row>
    <row r="383" spans="1:1" x14ac:dyDescent="0.3">
      <c r="A383" s="1">
        <v>43847</v>
      </c>
    </row>
    <row r="384" spans="1:1" x14ac:dyDescent="0.3">
      <c r="A384" s="1">
        <v>43848</v>
      </c>
    </row>
    <row r="385" spans="1:1" x14ac:dyDescent="0.3">
      <c r="A385" s="1">
        <v>43849</v>
      </c>
    </row>
    <row r="386" spans="1:1" x14ac:dyDescent="0.3">
      <c r="A386" s="1">
        <v>43850</v>
      </c>
    </row>
    <row r="387" spans="1:1" x14ac:dyDescent="0.3">
      <c r="A387" s="1">
        <v>43851</v>
      </c>
    </row>
    <row r="388" spans="1:1" x14ac:dyDescent="0.3">
      <c r="A388" s="1">
        <v>43852</v>
      </c>
    </row>
    <row r="389" spans="1:1" x14ac:dyDescent="0.3">
      <c r="A389" s="1">
        <v>43853</v>
      </c>
    </row>
    <row r="390" spans="1:1" x14ac:dyDescent="0.3">
      <c r="A390" s="1">
        <v>43854</v>
      </c>
    </row>
    <row r="391" spans="1:1" x14ac:dyDescent="0.3">
      <c r="A391" s="1">
        <v>43855</v>
      </c>
    </row>
    <row r="392" spans="1:1" x14ac:dyDescent="0.3">
      <c r="A392" s="1">
        <v>43856</v>
      </c>
    </row>
    <row r="393" spans="1:1" x14ac:dyDescent="0.3">
      <c r="A393" s="1">
        <v>43857</v>
      </c>
    </row>
    <row r="394" spans="1:1" x14ac:dyDescent="0.3">
      <c r="A394" s="1">
        <v>43858</v>
      </c>
    </row>
    <row r="395" spans="1:1" x14ac:dyDescent="0.3">
      <c r="A395" s="1">
        <v>43859</v>
      </c>
    </row>
    <row r="396" spans="1:1" x14ac:dyDescent="0.3">
      <c r="A396" s="1">
        <v>43860</v>
      </c>
    </row>
    <row r="397" spans="1:1" x14ac:dyDescent="0.3">
      <c r="A397" s="1">
        <v>43861</v>
      </c>
    </row>
    <row r="398" spans="1:1" x14ac:dyDescent="0.3">
      <c r="A398" s="1">
        <v>43862</v>
      </c>
    </row>
    <row r="399" spans="1:1" x14ac:dyDescent="0.3">
      <c r="A399" s="1">
        <v>43863</v>
      </c>
    </row>
    <row r="400" spans="1:1" x14ac:dyDescent="0.3">
      <c r="A400" s="1">
        <v>43864</v>
      </c>
    </row>
    <row r="401" spans="1:1" x14ac:dyDescent="0.3">
      <c r="A401" s="1">
        <v>43865</v>
      </c>
    </row>
    <row r="402" spans="1:1" x14ac:dyDescent="0.3">
      <c r="A402" s="1">
        <v>43866</v>
      </c>
    </row>
    <row r="403" spans="1:1" x14ac:dyDescent="0.3">
      <c r="A403" s="1">
        <v>43867</v>
      </c>
    </row>
    <row r="404" spans="1:1" x14ac:dyDescent="0.3">
      <c r="A404" s="1">
        <v>43868</v>
      </c>
    </row>
    <row r="405" spans="1:1" x14ac:dyDescent="0.3">
      <c r="A405" s="1">
        <v>43869</v>
      </c>
    </row>
    <row r="406" spans="1:1" x14ac:dyDescent="0.3">
      <c r="A406" s="1">
        <v>43870</v>
      </c>
    </row>
    <row r="407" spans="1:1" x14ac:dyDescent="0.3">
      <c r="A407" s="1">
        <v>43871</v>
      </c>
    </row>
    <row r="408" spans="1:1" x14ac:dyDescent="0.3">
      <c r="A408" s="1">
        <v>43872</v>
      </c>
    </row>
    <row r="409" spans="1:1" x14ac:dyDescent="0.3">
      <c r="A409" s="1">
        <v>43873</v>
      </c>
    </row>
    <row r="410" spans="1:1" x14ac:dyDescent="0.3">
      <c r="A410" s="1">
        <v>43874</v>
      </c>
    </row>
    <row r="411" spans="1:1" x14ac:dyDescent="0.3">
      <c r="A411" s="1">
        <v>43875</v>
      </c>
    </row>
    <row r="412" spans="1:1" x14ac:dyDescent="0.3">
      <c r="A412" s="1">
        <v>43876</v>
      </c>
    </row>
    <row r="413" spans="1:1" x14ac:dyDescent="0.3">
      <c r="A413" s="1">
        <v>43877</v>
      </c>
    </row>
    <row r="414" spans="1:1" x14ac:dyDescent="0.3">
      <c r="A414" s="1">
        <v>43878</v>
      </c>
    </row>
    <row r="415" spans="1:1" x14ac:dyDescent="0.3">
      <c r="A415" s="1">
        <v>43879</v>
      </c>
    </row>
    <row r="416" spans="1:1" x14ac:dyDescent="0.3">
      <c r="A416" s="1">
        <v>43880</v>
      </c>
    </row>
    <row r="417" spans="1:1" x14ac:dyDescent="0.3">
      <c r="A417" s="1">
        <v>43881</v>
      </c>
    </row>
    <row r="418" spans="1:1" x14ac:dyDescent="0.3">
      <c r="A418" s="1">
        <v>43882</v>
      </c>
    </row>
    <row r="419" spans="1:1" x14ac:dyDescent="0.3">
      <c r="A419" s="1">
        <v>43883</v>
      </c>
    </row>
    <row r="420" spans="1:1" x14ac:dyDescent="0.3">
      <c r="A420" s="1">
        <v>43884</v>
      </c>
    </row>
    <row r="421" spans="1:1" x14ac:dyDescent="0.3">
      <c r="A421" s="1">
        <v>43885</v>
      </c>
    </row>
    <row r="422" spans="1:1" x14ac:dyDescent="0.3">
      <c r="A422" s="1">
        <v>43886</v>
      </c>
    </row>
    <row r="423" spans="1:1" x14ac:dyDescent="0.3">
      <c r="A423" s="1">
        <v>43887</v>
      </c>
    </row>
    <row r="424" spans="1:1" x14ac:dyDescent="0.3">
      <c r="A424" s="1">
        <v>43888</v>
      </c>
    </row>
    <row r="425" spans="1:1" x14ac:dyDescent="0.3">
      <c r="A425" s="1">
        <v>43889</v>
      </c>
    </row>
    <row r="426" spans="1:1" x14ac:dyDescent="0.3">
      <c r="A426" s="1">
        <v>43890</v>
      </c>
    </row>
    <row r="427" spans="1:1" x14ac:dyDescent="0.3">
      <c r="A427" s="1">
        <v>43891</v>
      </c>
    </row>
    <row r="428" spans="1:1" x14ac:dyDescent="0.3">
      <c r="A428" s="1">
        <v>43892</v>
      </c>
    </row>
    <row r="429" spans="1:1" x14ac:dyDescent="0.3">
      <c r="A429" s="1">
        <v>43893</v>
      </c>
    </row>
    <row r="430" spans="1:1" x14ac:dyDescent="0.3">
      <c r="A430" s="1">
        <v>43894</v>
      </c>
    </row>
    <row r="431" spans="1:1" x14ac:dyDescent="0.3">
      <c r="A431" s="1">
        <v>43895</v>
      </c>
    </row>
    <row r="432" spans="1:1" x14ac:dyDescent="0.3">
      <c r="A432" s="1">
        <v>43896</v>
      </c>
    </row>
    <row r="433" spans="1:1" x14ac:dyDescent="0.3">
      <c r="A433" s="1">
        <v>43897</v>
      </c>
    </row>
    <row r="434" spans="1:1" x14ac:dyDescent="0.3">
      <c r="A434" s="1">
        <v>43898</v>
      </c>
    </row>
    <row r="435" spans="1:1" x14ac:dyDescent="0.3">
      <c r="A435" s="1">
        <v>43899</v>
      </c>
    </row>
    <row r="436" spans="1:1" x14ac:dyDescent="0.3">
      <c r="A436" s="1">
        <v>43900</v>
      </c>
    </row>
    <row r="437" spans="1:1" x14ac:dyDescent="0.3">
      <c r="A437" s="1">
        <v>43901</v>
      </c>
    </row>
    <row r="438" spans="1:1" x14ac:dyDescent="0.3">
      <c r="A438" s="1">
        <v>43902</v>
      </c>
    </row>
    <row r="439" spans="1:1" x14ac:dyDescent="0.3">
      <c r="A439" s="1">
        <v>43903</v>
      </c>
    </row>
    <row r="440" spans="1:1" x14ac:dyDescent="0.3">
      <c r="A440" s="1">
        <v>43904</v>
      </c>
    </row>
    <row r="441" spans="1:1" x14ac:dyDescent="0.3">
      <c r="A441" s="1">
        <v>43905</v>
      </c>
    </row>
    <row r="442" spans="1:1" x14ac:dyDescent="0.3">
      <c r="A442" s="1">
        <v>43906</v>
      </c>
    </row>
    <row r="443" spans="1:1" x14ac:dyDescent="0.3">
      <c r="A443" s="1">
        <v>43907</v>
      </c>
    </row>
    <row r="444" spans="1:1" x14ac:dyDescent="0.3">
      <c r="A444" s="1">
        <v>43908</v>
      </c>
    </row>
    <row r="445" spans="1:1" x14ac:dyDescent="0.3">
      <c r="A445" s="1">
        <v>43909</v>
      </c>
    </row>
    <row r="446" spans="1:1" x14ac:dyDescent="0.3">
      <c r="A446" s="1">
        <v>43910</v>
      </c>
    </row>
    <row r="447" spans="1:1" x14ac:dyDescent="0.3">
      <c r="A447" s="1">
        <v>43911</v>
      </c>
    </row>
    <row r="448" spans="1:1" x14ac:dyDescent="0.3">
      <c r="A448" s="1">
        <v>43912</v>
      </c>
    </row>
    <row r="449" spans="1:1" x14ac:dyDescent="0.3">
      <c r="A449" s="1">
        <v>43913</v>
      </c>
    </row>
    <row r="450" spans="1:1" x14ac:dyDescent="0.3">
      <c r="A450" s="1">
        <v>43914</v>
      </c>
    </row>
    <row r="451" spans="1:1" x14ac:dyDescent="0.3">
      <c r="A451" s="1">
        <v>43915</v>
      </c>
    </row>
    <row r="452" spans="1:1" x14ac:dyDescent="0.3">
      <c r="A452" s="1">
        <v>43916</v>
      </c>
    </row>
    <row r="453" spans="1:1" x14ac:dyDescent="0.3">
      <c r="A453" s="1">
        <v>43917</v>
      </c>
    </row>
    <row r="454" spans="1:1" x14ac:dyDescent="0.3">
      <c r="A454" s="1">
        <v>43918</v>
      </c>
    </row>
    <row r="455" spans="1:1" x14ac:dyDescent="0.3">
      <c r="A455" s="1">
        <v>43919</v>
      </c>
    </row>
    <row r="456" spans="1:1" x14ac:dyDescent="0.3">
      <c r="A456" s="1">
        <v>43920</v>
      </c>
    </row>
    <row r="457" spans="1:1" x14ac:dyDescent="0.3">
      <c r="A457" s="1">
        <v>43921</v>
      </c>
    </row>
    <row r="458" spans="1:1" x14ac:dyDescent="0.3">
      <c r="A458" s="1">
        <v>43922</v>
      </c>
    </row>
    <row r="459" spans="1:1" x14ac:dyDescent="0.3">
      <c r="A459" s="1">
        <v>43923</v>
      </c>
    </row>
    <row r="460" spans="1:1" x14ac:dyDescent="0.3">
      <c r="A460" s="1">
        <v>43924</v>
      </c>
    </row>
    <row r="461" spans="1:1" x14ac:dyDescent="0.3">
      <c r="A461" s="1">
        <v>43925</v>
      </c>
    </row>
    <row r="462" spans="1:1" x14ac:dyDescent="0.3">
      <c r="A462" s="1">
        <v>43926</v>
      </c>
    </row>
    <row r="463" spans="1:1" x14ac:dyDescent="0.3">
      <c r="A463" s="1">
        <v>43927</v>
      </c>
    </row>
    <row r="464" spans="1:1" x14ac:dyDescent="0.3">
      <c r="A464" s="1">
        <v>43928</v>
      </c>
    </row>
    <row r="465" spans="1:1" x14ac:dyDescent="0.3">
      <c r="A465" s="1">
        <v>43929</v>
      </c>
    </row>
    <row r="466" spans="1:1" x14ac:dyDescent="0.3">
      <c r="A466" s="1">
        <v>43930</v>
      </c>
    </row>
    <row r="467" spans="1:1" x14ac:dyDescent="0.3">
      <c r="A467" s="1">
        <v>43931</v>
      </c>
    </row>
    <row r="468" spans="1:1" x14ac:dyDescent="0.3">
      <c r="A468" s="1">
        <v>43932</v>
      </c>
    </row>
    <row r="469" spans="1:1" x14ac:dyDescent="0.3">
      <c r="A469" s="1">
        <v>43933</v>
      </c>
    </row>
    <row r="470" spans="1:1" x14ac:dyDescent="0.3">
      <c r="A470" s="1">
        <v>43934</v>
      </c>
    </row>
    <row r="471" spans="1:1" x14ac:dyDescent="0.3">
      <c r="A471" s="1">
        <v>43935</v>
      </c>
    </row>
    <row r="472" spans="1:1" x14ac:dyDescent="0.3">
      <c r="A472" s="1">
        <v>43936</v>
      </c>
    </row>
    <row r="473" spans="1:1" x14ac:dyDescent="0.3">
      <c r="A473" s="1">
        <v>43937</v>
      </c>
    </row>
    <row r="474" spans="1:1" x14ac:dyDescent="0.3">
      <c r="A474" s="1">
        <v>43938</v>
      </c>
    </row>
    <row r="475" spans="1:1" x14ac:dyDescent="0.3">
      <c r="A475" s="1">
        <v>43939</v>
      </c>
    </row>
    <row r="476" spans="1:1" x14ac:dyDescent="0.3">
      <c r="A476" s="1">
        <v>43940</v>
      </c>
    </row>
    <row r="477" spans="1:1" x14ac:dyDescent="0.3">
      <c r="A477" s="1">
        <v>43941</v>
      </c>
    </row>
    <row r="478" spans="1:1" x14ac:dyDescent="0.3">
      <c r="A478" s="1">
        <v>43942</v>
      </c>
    </row>
    <row r="479" spans="1:1" x14ac:dyDescent="0.3">
      <c r="A479" s="1">
        <v>43943</v>
      </c>
    </row>
    <row r="480" spans="1:1" x14ac:dyDescent="0.3">
      <c r="A480" s="1">
        <v>43944</v>
      </c>
    </row>
    <row r="481" spans="1:1" x14ac:dyDescent="0.3">
      <c r="A481" s="1">
        <v>43945</v>
      </c>
    </row>
    <row r="482" spans="1:1" x14ac:dyDescent="0.3">
      <c r="A482" s="1">
        <v>43946</v>
      </c>
    </row>
    <row r="483" spans="1:1" x14ac:dyDescent="0.3">
      <c r="A483" s="1">
        <v>43947</v>
      </c>
    </row>
    <row r="484" spans="1:1" x14ac:dyDescent="0.3">
      <c r="A484" s="1">
        <v>43948</v>
      </c>
    </row>
    <row r="485" spans="1:1" x14ac:dyDescent="0.3">
      <c r="A485" s="1">
        <v>43949</v>
      </c>
    </row>
    <row r="486" spans="1:1" x14ac:dyDescent="0.3">
      <c r="A486" s="1">
        <v>43950</v>
      </c>
    </row>
    <row r="487" spans="1:1" x14ac:dyDescent="0.3">
      <c r="A487" s="1">
        <v>43951</v>
      </c>
    </row>
    <row r="488" spans="1:1" x14ac:dyDescent="0.3">
      <c r="A488" s="1">
        <v>43952</v>
      </c>
    </row>
    <row r="489" spans="1:1" x14ac:dyDescent="0.3">
      <c r="A489" s="1">
        <v>43953</v>
      </c>
    </row>
    <row r="490" spans="1:1" x14ac:dyDescent="0.3">
      <c r="A490" s="1">
        <v>43954</v>
      </c>
    </row>
    <row r="491" spans="1:1" x14ac:dyDescent="0.3">
      <c r="A491" s="1">
        <v>43955</v>
      </c>
    </row>
    <row r="492" spans="1:1" x14ac:dyDescent="0.3">
      <c r="A492" s="1">
        <v>43956</v>
      </c>
    </row>
    <row r="493" spans="1:1" x14ac:dyDescent="0.3">
      <c r="A493" s="1">
        <v>43957</v>
      </c>
    </row>
    <row r="494" spans="1:1" x14ac:dyDescent="0.3">
      <c r="A494" s="1">
        <v>43958</v>
      </c>
    </row>
    <row r="495" spans="1:1" x14ac:dyDescent="0.3">
      <c r="A495" s="1">
        <v>43959</v>
      </c>
    </row>
    <row r="496" spans="1:1" x14ac:dyDescent="0.3">
      <c r="A496" s="1">
        <v>43960</v>
      </c>
    </row>
    <row r="497" spans="1:1" x14ac:dyDescent="0.3">
      <c r="A497" s="1">
        <v>43961</v>
      </c>
    </row>
    <row r="498" spans="1:1" x14ac:dyDescent="0.3">
      <c r="A498" s="1">
        <v>43962</v>
      </c>
    </row>
    <row r="499" spans="1:1" x14ac:dyDescent="0.3">
      <c r="A499" s="1">
        <v>43963</v>
      </c>
    </row>
    <row r="500" spans="1:1" x14ac:dyDescent="0.3">
      <c r="A500" s="1">
        <v>43964</v>
      </c>
    </row>
    <row r="501" spans="1:1" x14ac:dyDescent="0.3">
      <c r="A501" s="1">
        <v>43965</v>
      </c>
    </row>
    <row r="502" spans="1:1" x14ac:dyDescent="0.3">
      <c r="A502" s="1">
        <v>43966</v>
      </c>
    </row>
    <row r="503" spans="1:1" x14ac:dyDescent="0.3">
      <c r="A503" s="1">
        <v>43967</v>
      </c>
    </row>
    <row r="504" spans="1:1" x14ac:dyDescent="0.3">
      <c r="A504" s="1">
        <v>43968</v>
      </c>
    </row>
    <row r="505" spans="1:1" x14ac:dyDescent="0.3">
      <c r="A505" s="1">
        <v>43969</v>
      </c>
    </row>
    <row r="506" spans="1:1" x14ac:dyDescent="0.3">
      <c r="A506" s="1">
        <v>43970</v>
      </c>
    </row>
    <row r="507" spans="1:1" x14ac:dyDescent="0.3">
      <c r="A507" s="1">
        <v>43971</v>
      </c>
    </row>
    <row r="508" spans="1:1" x14ac:dyDescent="0.3">
      <c r="A508" s="1">
        <v>43972</v>
      </c>
    </row>
    <row r="509" spans="1:1" x14ac:dyDescent="0.3">
      <c r="A509" s="1">
        <v>43973</v>
      </c>
    </row>
    <row r="510" spans="1:1" x14ac:dyDescent="0.3">
      <c r="A510" s="1">
        <v>43974</v>
      </c>
    </row>
    <row r="511" spans="1:1" x14ac:dyDescent="0.3">
      <c r="A511" s="1">
        <v>43975</v>
      </c>
    </row>
    <row r="512" spans="1:1" x14ac:dyDescent="0.3">
      <c r="A512" s="1">
        <v>43976</v>
      </c>
    </row>
    <row r="513" spans="1:1" x14ac:dyDescent="0.3">
      <c r="A513" s="1">
        <v>43977</v>
      </c>
    </row>
    <row r="514" spans="1:1" x14ac:dyDescent="0.3">
      <c r="A514" s="1">
        <v>43978</v>
      </c>
    </row>
    <row r="515" spans="1:1" x14ac:dyDescent="0.3">
      <c r="A515" s="1">
        <v>43979</v>
      </c>
    </row>
    <row r="516" spans="1:1" x14ac:dyDescent="0.3">
      <c r="A516" s="1">
        <v>43980</v>
      </c>
    </row>
    <row r="517" spans="1:1" x14ac:dyDescent="0.3">
      <c r="A517" s="1">
        <v>43981</v>
      </c>
    </row>
    <row r="518" spans="1:1" x14ac:dyDescent="0.3">
      <c r="A518" s="1">
        <v>43982</v>
      </c>
    </row>
    <row r="519" spans="1:1" x14ac:dyDescent="0.3">
      <c r="A519" s="1">
        <v>43983</v>
      </c>
    </row>
    <row r="520" spans="1:1" x14ac:dyDescent="0.3">
      <c r="A520" s="1">
        <v>43984</v>
      </c>
    </row>
    <row r="521" spans="1:1" x14ac:dyDescent="0.3">
      <c r="A521" s="1">
        <v>43985</v>
      </c>
    </row>
    <row r="522" spans="1:1" x14ac:dyDescent="0.3">
      <c r="A522" s="1">
        <v>43986</v>
      </c>
    </row>
    <row r="523" spans="1:1" x14ac:dyDescent="0.3">
      <c r="A523" s="1">
        <v>43987</v>
      </c>
    </row>
    <row r="524" spans="1:1" x14ac:dyDescent="0.3">
      <c r="A524" s="1">
        <v>43988</v>
      </c>
    </row>
    <row r="525" spans="1:1" x14ac:dyDescent="0.3">
      <c r="A525" s="1">
        <v>43989</v>
      </c>
    </row>
    <row r="526" spans="1:1" x14ac:dyDescent="0.3">
      <c r="A526" s="1">
        <v>43990</v>
      </c>
    </row>
    <row r="527" spans="1:1" x14ac:dyDescent="0.3">
      <c r="A527" s="1">
        <v>43991</v>
      </c>
    </row>
    <row r="528" spans="1:1" x14ac:dyDescent="0.3">
      <c r="A528" s="1">
        <v>43992</v>
      </c>
    </row>
    <row r="529" spans="1:1" x14ac:dyDescent="0.3">
      <c r="A529" s="1">
        <v>43993</v>
      </c>
    </row>
    <row r="530" spans="1:1" x14ac:dyDescent="0.3">
      <c r="A530" s="1">
        <v>43994</v>
      </c>
    </row>
    <row r="531" spans="1:1" x14ac:dyDescent="0.3">
      <c r="A531" s="1">
        <v>43995</v>
      </c>
    </row>
    <row r="532" spans="1:1" x14ac:dyDescent="0.3">
      <c r="A532" s="1">
        <v>43996</v>
      </c>
    </row>
    <row r="533" spans="1:1" x14ac:dyDescent="0.3">
      <c r="A533" s="1">
        <v>43997</v>
      </c>
    </row>
    <row r="534" spans="1:1" x14ac:dyDescent="0.3">
      <c r="A534" s="1">
        <v>43998</v>
      </c>
    </row>
    <row r="535" spans="1:1" x14ac:dyDescent="0.3">
      <c r="A535" s="1">
        <v>43999</v>
      </c>
    </row>
    <row r="536" spans="1:1" x14ac:dyDescent="0.3">
      <c r="A536" s="1">
        <v>44000</v>
      </c>
    </row>
    <row r="537" spans="1:1" x14ac:dyDescent="0.3">
      <c r="A537" s="1">
        <v>44001</v>
      </c>
    </row>
    <row r="538" spans="1:1" x14ac:dyDescent="0.3">
      <c r="A538" s="1">
        <v>44002</v>
      </c>
    </row>
    <row r="539" spans="1:1" x14ac:dyDescent="0.3">
      <c r="A539" s="1">
        <v>44003</v>
      </c>
    </row>
    <row r="540" spans="1:1" x14ac:dyDescent="0.3">
      <c r="A540" s="1">
        <v>44004</v>
      </c>
    </row>
    <row r="541" spans="1:1" x14ac:dyDescent="0.3">
      <c r="A541" s="1">
        <v>44005</v>
      </c>
    </row>
    <row r="542" spans="1:1" x14ac:dyDescent="0.3">
      <c r="A542" s="1">
        <v>44006</v>
      </c>
    </row>
    <row r="543" spans="1:1" x14ac:dyDescent="0.3">
      <c r="A543" s="1">
        <v>44007</v>
      </c>
    </row>
    <row r="544" spans="1:1" x14ac:dyDescent="0.3">
      <c r="A544" s="1">
        <v>44008</v>
      </c>
    </row>
    <row r="545" spans="1:1" x14ac:dyDescent="0.3">
      <c r="A545" s="1">
        <v>44009</v>
      </c>
    </row>
    <row r="546" spans="1:1" x14ac:dyDescent="0.3">
      <c r="A546" s="1">
        <v>44010</v>
      </c>
    </row>
    <row r="547" spans="1:1" x14ac:dyDescent="0.3">
      <c r="A547" s="1">
        <v>44011</v>
      </c>
    </row>
    <row r="548" spans="1:1" x14ac:dyDescent="0.3">
      <c r="A548" s="1">
        <v>44012</v>
      </c>
    </row>
    <row r="549" spans="1:1" x14ac:dyDescent="0.3">
      <c r="A549" s="1">
        <v>44013</v>
      </c>
    </row>
    <row r="550" spans="1:1" x14ac:dyDescent="0.3">
      <c r="A550" s="1">
        <v>44014</v>
      </c>
    </row>
    <row r="551" spans="1:1" x14ac:dyDescent="0.3">
      <c r="A551" s="1">
        <v>44015</v>
      </c>
    </row>
    <row r="552" spans="1:1" x14ac:dyDescent="0.3">
      <c r="A552" s="1">
        <v>44016</v>
      </c>
    </row>
    <row r="553" spans="1:1" x14ac:dyDescent="0.3">
      <c r="A553" s="1">
        <v>44017</v>
      </c>
    </row>
    <row r="554" spans="1:1" x14ac:dyDescent="0.3">
      <c r="A554" s="1">
        <v>44018</v>
      </c>
    </row>
    <row r="555" spans="1:1" x14ac:dyDescent="0.3">
      <c r="A555" s="1">
        <v>44019</v>
      </c>
    </row>
    <row r="556" spans="1:1" x14ac:dyDescent="0.3">
      <c r="A556" s="1">
        <v>44020</v>
      </c>
    </row>
    <row r="557" spans="1:1" x14ac:dyDescent="0.3">
      <c r="A557" s="1">
        <v>44021</v>
      </c>
    </row>
    <row r="558" spans="1:1" x14ac:dyDescent="0.3">
      <c r="A558" s="1">
        <v>44022</v>
      </c>
    </row>
    <row r="559" spans="1:1" x14ac:dyDescent="0.3">
      <c r="A559" s="1">
        <v>44023</v>
      </c>
    </row>
    <row r="560" spans="1:1" x14ac:dyDescent="0.3">
      <c r="A560" s="1">
        <v>44024</v>
      </c>
    </row>
    <row r="561" spans="1:1" x14ac:dyDescent="0.3">
      <c r="A561" s="1">
        <v>44025</v>
      </c>
    </row>
    <row r="562" spans="1:1" x14ac:dyDescent="0.3">
      <c r="A562" s="1">
        <v>44026</v>
      </c>
    </row>
    <row r="563" spans="1:1" x14ac:dyDescent="0.3">
      <c r="A563" s="1">
        <v>44027</v>
      </c>
    </row>
    <row r="564" spans="1:1" x14ac:dyDescent="0.3">
      <c r="A564" s="1">
        <v>44028</v>
      </c>
    </row>
    <row r="565" spans="1:1" x14ac:dyDescent="0.3">
      <c r="A565" s="1">
        <v>44029</v>
      </c>
    </row>
    <row r="566" spans="1:1" x14ac:dyDescent="0.3">
      <c r="A566" s="1">
        <v>44030</v>
      </c>
    </row>
    <row r="567" spans="1:1" x14ac:dyDescent="0.3">
      <c r="A567" s="1">
        <v>44031</v>
      </c>
    </row>
    <row r="568" spans="1:1" x14ac:dyDescent="0.3">
      <c r="A568" s="1">
        <v>44032</v>
      </c>
    </row>
    <row r="569" spans="1:1" x14ac:dyDescent="0.3">
      <c r="A569" s="1">
        <v>44033</v>
      </c>
    </row>
    <row r="570" spans="1:1" x14ac:dyDescent="0.3">
      <c r="A570" s="1">
        <v>44034</v>
      </c>
    </row>
    <row r="571" spans="1:1" x14ac:dyDescent="0.3">
      <c r="A571" s="1">
        <v>44035</v>
      </c>
    </row>
    <row r="572" spans="1:1" x14ac:dyDescent="0.3">
      <c r="A572" s="1">
        <v>44036</v>
      </c>
    </row>
    <row r="573" spans="1:1" x14ac:dyDescent="0.3">
      <c r="A573" s="1">
        <v>44037</v>
      </c>
    </row>
    <row r="574" spans="1:1" x14ac:dyDescent="0.3">
      <c r="A574" s="1">
        <v>44038</v>
      </c>
    </row>
    <row r="575" spans="1:1" x14ac:dyDescent="0.3">
      <c r="A575" s="1">
        <v>44039</v>
      </c>
    </row>
    <row r="576" spans="1:1" x14ac:dyDescent="0.3">
      <c r="A576" s="1">
        <v>44040</v>
      </c>
    </row>
    <row r="577" spans="1:1" x14ac:dyDescent="0.3">
      <c r="A577" s="1">
        <v>44041</v>
      </c>
    </row>
    <row r="578" spans="1:1" x14ac:dyDescent="0.3">
      <c r="A578" s="1">
        <v>44042</v>
      </c>
    </row>
    <row r="579" spans="1:1" x14ac:dyDescent="0.3">
      <c r="A579" s="1">
        <v>44043</v>
      </c>
    </row>
    <row r="580" spans="1:1" x14ac:dyDescent="0.3">
      <c r="A580" s="1">
        <v>44044</v>
      </c>
    </row>
    <row r="581" spans="1:1" x14ac:dyDescent="0.3">
      <c r="A581" s="1">
        <v>44045</v>
      </c>
    </row>
    <row r="582" spans="1:1" x14ac:dyDescent="0.3">
      <c r="A582" s="1">
        <v>44046</v>
      </c>
    </row>
    <row r="583" spans="1:1" x14ac:dyDescent="0.3">
      <c r="A583" s="1">
        <v>44047</v>
      </c>
    </row>
    <row r="584" spans="1:1" x14ac:dyDescent="0.3">
      <c r="A584" s="1">
        <v>44048</v>
      </c>
    </row>
    <row r="585" spans="1:1" x14ac:dyDescent="0.3">
      <c r="A585" s="1">
        <v>44049</v>
      </c>
    </row>
    <row r="586" spans="1:1" x14ac:dyDescent="0.3">
      <c r="A586" s="1">
        <v>44050</v>
      </c>
    </row>
    <row r="587" spans="1:1" x14ac:dyDescent="0.3">
      <c r="A587" s="1">
        <v>44051</v>
      </c>
    </row>
    <row r="588" spans="1:1" x14ac:dyDescent="0.3">
      <c r="A588" s="1">
        <v>44052</v>
      </c>
    </row>
    <row r="589" spans="1:1" x14ac:dyDescent="0.3">
      <c r="A589" s="1">
        <v>44053</v>
      </c>
    </row>
    <row r="590" spans="1:1" x14ac:dyDescent="0.3">
      <c r="A590" s="1">
        <v>44054</v>
      </c>
    </row>
    <row r="591" spans="1:1" x14ac:dyDescent="0.3">
      <c r="A591" s="1">
        <v>44055</v>
      </c>
    </row>
    <row r="592" spans="1:1" x14ac:dyDescent="0.3">
      <c r="A592" s="1">
        <v>44056</v>
      </c>
    </row>
    <row r="593" spans="1:1" x14ac:dyDescent="0.3">
      <c r="A593" s="1">
        <v>44057</v>
      </c>
    </row>
    <row r="594" spans="1:1" x14ac:dyDescent="0.3">
      <c r="A594" s="1">
        <v>44058</v>
      </c>
    </row>
    <row r="595" spans="1:1" x14ac:dyDescent="0.3">
      <c r="A595" s="1">
        <v>44059</v>
      </c>
    </row>
    <row r="596" spans="1:1" x14ac:dyDescent="0.3">
      <c r="A596" s="1">
        <v>44060</v>
      </c>
    </row>
    <row r="597" spans="1:1" x14ac:dyDescent="0.3">
      <c r="A597" s="1">
        <v>44061</v>
      </c>
    </row>
    <row r="598" spans="1:1" x14ac:dyDescent="0.3">
      <c r="A598" s="1">
        <v>44062</v>
      </c>
    </row>
    <row r="599" spans="1:1" x14ac:dyDescent="0.3">
      <c r="A599" s="1">
        <v>44063</v>
      </c>
    </row>
    <row r="600" spans="1:1" x14ac:dyDescent="0.3">
      <c r="A600" s="1">
        <v>44064</v>
      </c>
    </row>
    <row r="601" spans="1:1" x14ac:dyDescent="0.3">
      <c r="A601" s="1">
        <v>44065</v>
      </c>
    </row>
    <row r="602" spans="1:1" x14ac:dyDescent="0.3">
      <c r="A602" s="1">
        <v>44066</v>
      </c>
    </row>
    <row r="603" spans="1:1" x14ac:dyDescent="0.3">
      <c r="A603" s="1">
        <v>44067</v>
      </c>
    </row>
    <row r="604" spans="1:1" x14ac:dyDescent="0.3">
      <c r="A604" s="1">
        <v>44068</v>
      </c>
    </row>
    <row r="605" spans="1:1" x14ac:dyDescent="0.3">
      <c r="A605" s="1">
        <v>44069</v>
      </c>
    </row>
    <row r="606" spans="1:1" x14ac:dyDescent="0.3">
      <c r="A606" s="1">
        <v>44070</v>
      </c>
    </row>
    <row r="607" spans="1:1" x14ac:dyDescent="0.3">
      <c r="A607" s="1">
        <v>44071</v>
      </c>
    </row>
    <row r="608" spans="1:1" x14ac:dyDescent="0.3">
      <c r="A608" s="1">
        <v>44072</v>
      </c>
    </row>
    <row r="609" spans="1:1" x14ac:dyDescent="0.3">
      <c r="A609" s="1">
        <v>44073</v>
      </c>
    </row>
    <row r="610" spans="1:1" x14ac:dyDescent="0.3">
      <c r="A610" s="1">
        <v>44074</v>
      </c>
    </row>
    <row r="611" spans="1:1" x14ac:dyDescent="0.3">
      <c r="A611" s="1">
        <v>44075</v>
      </c>
    </row>
    <row r="612" spans="1:1" x14ac:dyDescent="0.3">
      <c r="A612" s="1">
        <v>44076</v>
      </c>
    </row>
    <row r="613" spans="1:1" x14ac:dyDescent="0.3">
      <c r="A613" s="1">
        <v>44077</v>
      </c>
    </row>
    <row r="614" spans="1:1" x14ac:dyDescent="0.3">
      <c r="A614" s="1">
        <v>44078</v>
      </c>
    </row>
    <row r="615" spans="1:1" x14ac:dyDescent="0.3">
      <c r="A615" s="1">
        <v>44079</v>
      </c>
    </row>
    <row r="616" spans="1:1" x14ac:dyDescent="0.3">
      <c r="A616" s="1">
        <v>44080</v>
      </c>
    </row>
    <row r="617" spans="1:1" x14ac:dyDescent="0.3">
      <c r="A617" s="1">
        <v>44081</v>
      </c>
    </row>
    <row r="618" spans="1:1" x14ac:dyDescent="0.3">
      <c r="A618" s="1">
        <v>44082</v>
      </c>
    </row>
    <row r="619" spans="1:1" x14ac:dyDescent="0.3">
      <c r="A619" s="1">
        <v>44083</v>
      </c>
    </row>
    <row r="620" spans="1:1" x14ac:dyDescent="0.3">
      <c r="A620" s="1">
        <v>44084</v>
      </c>
    </row>
    <row r="621" spans="1:1" x14ac:dyDescent="0.3">
      <c r="A621" s="1">
        <v>44085</v>
      </c>
    </row>
    <row r="622" spans="1:1" x14ac:dyDescent="0.3">
      <c r="A622" s="1">
        <v>44086</v>
      </c>
    </row>
    <row r="623" spans="1:1" x14ac:dyDescent="0.3">
      <c r="A623" s="1">
        <v>44087</v>
      </c>
    </row>
    <row r="624" spans="1:1" x14ac:dyDescent="0.3">
      <c r="A624" s="1">
        <v>44088</v>
      </c>
    </row>
    <row r="625" spans="1:1" x14ac:dyDescent="0.3">
      <c r="A625" s="1">
        <v>44089</v>
      </c>
    </row>
    <row r="626" spans="1:1" x14ac:dyDescent="0.3">
      <c r="A626" s="1">
        <v>44090</v>
      </c>
    </row>
    <row r="627" spans="1:1" x14ac:dyDescent="0.3">
      <c r="A627" s="1">
        <v>44091</v>
      </c>
    </row>
    <row r="628" spans="1:1" x14ac:dyDescent="0.3">
      <c r="A628" s="1">
        <v>44092</v>
      </c>
    </row>
    <row r="629" spans="1:1" x14ac:dyDescent="0.3">
      <c r="A629" s="1">
        <v>44093</v>
      </c>
    </row>
    <row r="630" spans="1:1" x14ac:dyDescent="0.3">
      <c r="A630" s="1">
        <v>44094</v>
      </c>
    </row>
    <row r="631" spans="1:1" x14ac:dyDescent="0.3">
      <c r="A631" s="1">
        <v>44095</v>
      </c>
    </row>
    <row r="632" spans="1:1" x14ac:dyDescent="0.3">
      <c r="A632" s="1">
        <v>44096</v>
      </c>
    </row>
    <row r="633" spans="1:1" x14ac:dyDescent="0.3">
      <c r="A633" s="1">
        <v>44097</v>
      </c>
    </row>
    <row r="634" spans="1:1" x14ac:dyDescent="0.3">
      <c r="A634" s="1">
        <v>44098</v>
      </c>
    </row>
    <row r="635" spans="1:1" x14ac:dyDescent="0.3">
      <c r="A635" s="1">
        <v>44099</v>
      </c>
    </row>
    <row r="636" spans="1:1" x14ac:dyDescent="0.3">
      <c r="A636" s="1">
        <v>44100</v>
      </c>
    </row>
    <row r="637" spans="1:1" x14ac:dyDescent="0.3">
      <c r="A637" s="1">
        <v>44101</v>
      </c>
    </row>
    <row r="638" spans="1:1" x14ac:dyDescent="0.3">
      <c r="A638" s="1">
        <v>44102</v>
      </c>
    </row>
    <row r="639" spans="1:1" x14ac:dyDescent="0.3">
      <c r="A639" s="1">
        <v>44103</v>
      </c>
    </row>
    <row r="640" spans="1:1" x14ac:dyDescent="0.3">
      <c r="A640" s="1">
        <v>44104</v>
      </c>
    </row>
    <row r="641" spans="1:1" x14ac:dyDescent="0.3">
      <c r="A641" s="1">
        <v>44105</v>
      </c>
    </row>
    <row r="642" spans="1:1" x14ac:dyDescent="0.3">
      <c r="A642" s="1">
        <v>44106</v>
      </c>
    </row>
    <row r="643" spans="1:1" x14ac:dyDescent="0.3">
      <c r="A643" s="1">
        <v>44107</v>
      </c>
    </row>
    <row r="644" spans="1:1" x14ac:dyDescent="0.3">
      <c r="A644" s="1">
        <v>44108</v>
      </c>
    </row>
    <row r="645" spans="1:1" x14ac:dyDescent="0.3">
      <c r="A645" s="1">
        <v>44109</v>
      </c>
    </row>
    <row r="646" spans="1:1" x14ac:dyDescent="0.3">
      <c r="A646" s="1">
        <v>44110</v>
      </c>
    </row>
    <row r="647" spans="1:1" x14ac:dyDescent="0.3">
      <c r="A647" s="1">
        <v>44111</v>
      </c>
    </row>
    <row r="648" spans="1:1" x14ac:dyDescent="0.3">
      <c r="A648" s="1">
        <v>44112</v>
      </c>
    </row>
    <row r="649" spans="1:1" x14ac:dyDescent="0.3">
      <c r="A649" s="1">
        <v>44113</v>
      </c>
    </row>
    <row r="650" spans="1:1" x14ac:dyDescent="0.3">
      <c r="A650" s="1">
        <v>44114</v>
      </c>
    </row>
    <row r="651" spans="1:1" x14ac:dyDescent="0.3">
      <c r="A651" s="1">
        <v>44115</v>
      </c>
    </row>
    <row r="652" spans="1:1" x14ac:dyDescent="0.3">
      <c r="A652" s="1">
        <v>44116</v>
      </c>
    </row>
    <row r="653" spans="1:1" x14ac:dyDescent="0.3">
      <c r="A653" s="1">
        <v>44117</v>
      </c>
    </row>
    <row r="654" spans="1:1" x14ac:dyDescent="0.3">
      <c r="A654" s="1">
        <v>44118</v>
      </c>
    </row>
    <row r="655" spans="1:1" x14ac:dyDescent="0.3">
      <c r="A655" s="1">
        <v>44119</v>
      </c>
    </row>
    <row r="656" spans="1:1" x14ac:dyDescent="0.3">
      <c r="A656" s="1">
        <v>44120</v>
      </c>
    </row>
    <row r="657" spans="1:1" x14ac:dyDescent="0.3">
      <c r="A657" s="1">
        <v>44121</v>
      </c>
    </row>
    <row r="658" spans="1:1" x14ac:dyDescent="0.3">
      <c r="A658" s="1">
        <v>44122</v>
      </c>
    </row>
    <row r="659" spans="1:1" x14ac:dyDescent="0.3">
      <c r="A659" s="1">
        <v>44123</v>
      </c>
    </row>
    <row r="660" spans="1:1" x14ac:dyDescent="0.3">
      <c r="A660" s="1">
        <v>44124</v>
      </c>
    </row>
    <row r="661" spans="1:1" x14ac:dyDescent="0.3">
      <c r="A661" s="1">
        <v>44125</v>
      </c>
    </row>
    <row r="662" spans="1:1" x14ac:dyDescent="0.3">
      <c r="A662" s="1">
        <v>44126</v>
      </c>
    </row>
    <row r="663" spans="1:1" x14ac:dyDescent="0.3">
      <c r="A663" s="1">
        <v>44127</v>
      </c>
    </row>
    <row r="664" spans="1:1" x14ac:dyDescent="0.3">
      <c r="A664" s="1">
        <v>44128</v>
      </c>
    </row>
    <row r="665" spans="1:1" x14ac:dyDescent="0.3">
      <c r="A665" s="1">
        <v>44129</v>
      </c>
    </row>
    <row r="666" spans="1:1" x14ac:dyDescent="0.3">
      <c r="A666" s="1">
        <v>44130</v>
      </c>
    </row>
    <row r="667" spans="1:1" x14ac:dyDescent="0.3">
      <c r="A667" s="1">
        <v>44131</v>
      </c>
    </row>
    <row r="668" spans="1:1" x14ac:dyDescent="0.3">
      <c r="A668" s="1">
        <v>44132</v>
      </c>
    </row>
    <row r="669" spans="1:1" x14ac:dyDescent="0.3">
      <c r="A669" s="1">
        <v>44133</v>
      </c>
    </row>
    <row r="670" spans="1:1" x14ac:dyDescent="0.3">
      <c r="A670" s="1">
        <v>44134</v>
      </c>
    </row>
    <row r="671" spans="1:1" x14ac:dyDescent="0.3">
      <c r="A671" s="1">
        <v>44135</v>
      </c>
    </row>
    <row r="672" spans="1:1" x14ac:dyDescent="0.3">
      <c r="A672" s="1">
        <v>44136</v>
      </c>
    </row>
    <row r="673" spans="1:1" x14ac:dyDescent="0.3">
      <c r="A673" s="1">
        <v>44137</v>
      </c>
    </row>
    <row r="674" spans="1:1" x14ac:dyDescent="0.3">
      <c r="A674" s="1">
        <v>44138</v>
      </c>
    </row>
    <row r="675" spans="1:1" x14ac:dyDescent="0.3">
      <c r="A675" s="1">
        <v>44139</v>
      </c>
    </row>
    <row r="676" spans="1:1" x14ac:dyDescent="0.3">
      <c r="A676" s="1">
        <v>44140</v>
      </c>
    </row>
    <row r="677" spans="1:1" x14ac:dyDescent="0.3">
      <c r="A677" s="1">
        <v>44141</v>
      </c>
    </row>
    <row r="678" spans="1:1" x14ac:dyDescent="0.3">
      <c r="A678" s="1">
        <v>44142</v>
      </c>
    </row>
    <row r="679" spans="1:1" x14ac:dyDescent="0.3">
      <c r="A679" s="1">
        <v>44143</v>
      </c>
    </row>
    <row r="680" spans="1:1" x14ac:dyDescent="0.3">
      <c r="A680" s="1">
        <v>44144</v>
      </c>
    </row>
    <row r="681" spans="1:1" x14ac:dyDescent="0.3">
      <c r="A681" s="1">
        <v>44145</v>
      </c>
    </row>
    <row r="682" spans="1:1" x14ac:dyDescent="0.3">
      <c r="A682" s="1">
        <v>44146</v>
      </c>
    </row>
    <row r="683" spans="1:1" x14ac:dyDescent="0.3">
      <c r="A683" s="1">
        <v>44147</v>
      </c>
    </row>
    <row r="684" spans="1:1" x14ac:dyDescent="0.3">
      <c r="A684" s="1">
        <v>44148</v>
      </c>
    </row>
    <row r="685" spans="1:1" x14ac:dyDescent="0.3">
      <c r="A685" s="1">
        <v>44149</v>
      </c>
    </row>
    <row r="686" spans="1:1" x14ac:dyDescent="0.3">
      <c r="A686" s="1">
        <v>44150</v>
      </c>
    </row>
    <row r="687" spans="1:1" x14ac:dyDescent="0.3">
      <c r="A687" s="1">
        <v>44151</v>
      </c>
    </row>
    <row r="688" spans="1:1" x14ac:dyDescent="0.3">
      <c r="A688" s="1">
        <v>44152</v>
      </c>
    </row>
    <row r="689" spans="1:1" x14ac:dyDescent="0.3">
      <c r="A689" s="1">
        <v>44153</v>
      </c>
    </row>
    <row r="690" spans="1:1" x14ac:dyDescent="0.3">
      <c r="A690" s="1">
        <v>44154</v>
      </c>
    </row>
    <row r="691" spans="1:1" x14ac:dyDescent="0.3">
      <c r="A691" s="1">
        <v>44155</v>
      </c>
    </row>
    <row r="692" spans="1:1" x14ac:dyDescent="0.3">
      <c r="A692" s="1">
        <v>44156</v>
      </c>
    </row>
    <row r="693" spans="1:1" x14ac:dyDescent="0.3">
      <c r="A693" s="1">
        <v>44157</v>
      </c>
    </row>
    <row r="694" spans="1:1" x14ac:dyDescent="0.3">
      <c r="A694" s="1">
        <v>44158</v>
      </c>
    </row>
    <row r="695" spans="1:1" x14ac:dyDescent="0.3">
      <c r="A695" s="1">
        <v>44159</v>
      </c>
    </row>
    <row r="696" spans="1:1" x14ac:dyDescent="0.3">
      <c r="A696" s="1">
        <v>44160</v>
      </c>
    </row>
    <row r="697" spans="1:1" x14ac:dyDescent="0.3">
      <c r="A697" s="1">
        <v>44161</v>
      </c>
    </row>
    <row r="698" spans="1:1" x14ac:dyDescent="0.3">
      <c r="A698" s="1">
        <v>44162</v>
      </c>
    </row>
    <row r="699" spans="1:1" x14ac:dyDescent="0.3">
      <c r="A699" s="1">
        <v>44163</v>
      </c>
    </row>
    <row r="700" spans="1:1" x14ac:dyDescent="0.3">
      <c r="A700" s="1">
        <v>44164</v>
      </c>
    </row>
    <row r="701" spans="1:1" x14ac:dyDescent="0.3">
      <c r="A701" s="1">
        <v>44165</v>
      </c>
    </row>
    <row r="702" spans="1:1" x14ac:dyDescent="0.3">
      <c r="A702" s="1">
        <v>44166</v>
      </c>
    </row>
    <row r="703" spans="1:1" x14ac:dyDescent="0.3">
      <c r="A703" s="1">
        <v>44167</v>
      </c>
    </row>
    <row r="704" spans="1:1" x14ac:dyDescent="0.3">
      <c r="A704" s="1">
        <v>44168</v>
      </c>
    </row>
    <row r="705" spans="1:1" x14ac:dyDescent="0.3">
      <c r="A705" s="1">
        <v>44169</v>
      </c>
    </row>
    <row r="706" spans="1:1" x14ac:dyDescent="0.3">
      <c r="A706" s="1">
        <v>44170</v>
      </c>
    </row>
    <row r="707" spans="1:1" x14ac:dyDescent="0.3">
      <c r="A707" s="1">
        <v>44171</v>
      </c>
    </row>
    <row r="708" spans="1:1" x14ac:dyDescent="0.3">
      <c r="A708" s="1">
        <v>44172</v>
      </c>
    </row>
    <row r="709" spans="1:1" x14ac:dyDescent="0.3">
      <c r="A709" s="1">
        <v>44173</v>
      </c>
    </row>
    <row r="710" spans="1:1" x14ac:dyDescent="0.3">
      <c r="A710" s="1">
        <v>44174</v>
      </c>
    </row>
    <row r="711" spans="1:1" x14ac:dyDescent="0.3">
      <c r="A711" s="1">
        <v>44175</v>
      </c>
    </row>
    <row r="712" spans="1:1" x14ac:dyDescent="0.3">
      <c r="A712" s="1">
        <v>44176</v>
      </c>
    </row>
    <row r="713" spans="1:1" x14ac:dyDescent="0.3">
      <c r="A713" s="1">
        <v>44177</v>
      </c>
    </row>
    <row r="714" spans="1:1" x14ac:dyDescent="0.3">
      <c r="A714" s="1">
        <v>44178</v>
      </c>
    </row>
    <row r="715" spans="1:1" x14ac:dyDescent="0.3">
      <c r="A715" s="1">
        <v>44179</v>
      </c>
    </row>
    <row r="716" spans="1:1" x14ac:dyDescent="0.3">
      <c r="A716" s="1">
        <v>44180</v>
      </c>
    </row>
    <row r="717" spans="1:1" x14ac:dyDescent="0.3">
      <c r="A717" s="1">
        <v>44181</v>
      </c>
    </row>
    <row r="718" spans="1:1" x14ac:dyDescent="0.3">
      <c r="A718" s="1">
        <v>44182</v>
      </c>
    </row>
    <row r="719" spans="1:1" x14ac:dyDescent="0.3">
      <c r="A719" s="1">
        <v>44183</v>
      </c>
    </row>
    <row r="720" spans="1:1" x14ac:dyDescent="0.3">
      <c r="A720" s="1">
        <v>44184</v>
      </c>
    </row>
    <row r="721" spans="1:1" x14ac:dyDescent="0.3">
      <c r="A721" s="1">
        <v>44185</v>
      </c>
    </row>
    <row r="722" spans="1:1" x14ac:dyDescent="0.3">
      <c r="A722" s="1">
        <v>44186</v>
      </c>
    </row>
    <row r="723" spans="1:1" x14ac:dyDescent="0.3">
      <c r="A723" s="1">
        <v>44187</v>
      </c>
    </row>
    <row r="724" spans="1:1" x14ac:dyDescent="0.3">
      <c r="A724" s="1">
        <v>44188</v>
      </c>
    </row>
    <row r="725" spans="1:1" x14ac:dyDescent="0.3">
      <c r="A725" s="1">
        <v>44189</v>
      </c>
    </row>
    <row r="726" spans="1:1" x14ac:dyDescent="0.3">
      <c r="A726" s="1">
        <v>44190</v>
      </c>
    </row>
    <row r="727" spans="1:1" x14ac:dyDescent="0.3">
      <c r="A727" s="1">
        <v>44191</v>
      </c>
    </row>
    <row r="728" spans="1:1" x14ac:dyDescent="0.3">
      <c r="A728" s="1">
        <v>44192</v>
      </c>
    </row>
    <row r="729" spans="1:1" x14ac:dyDescent="0.3">
      <c r="A729" s="1">
        <v>44193</v>
      </c>
    </row>
    <row r="730" spans="1:1" x14ac:dyDescent="0.3">
      <c r="A730" s="1">
        <v>44194</v>
      </c>
    </row>
    <row r="731" spans="1:1" x14ac:dyDescent="0.3">
      <c r="A731" s="1">
        <v>44195</v>
      </c>
    </row>
    <row r="732" spans="1:1" x14ac:dyDescent="0.3">
      <c r="A732" s="1">
        <v>44196</v>
      </c>
    </row>
    <row r="733" spans="1:1" x14ac:dyDescent="0.3">
      <c r="A733" s="1">
        <v>44197</v>
      </c>
    </row>
    <row r="734" spans="1:1" x14ac:dyDescent="0.3">
      <c r="A734" s="1">
        <v>44198</v>
      </c>
    </row>
    <row r="735" spans="1:1" x14ac:dyDescent="0.3">
      <c r="A735" s="1">
        <v>44199</v>
      </c>
    </row>
    <row r="736" spans="1:1" x14ac:dyDescent="0.3">
      <c r="A736" s="1">
        <v>44200</v>
      </c>
    </row>
    <row r="737" spans="1:1" x14ac:dyDescent="0.3">
      <c r="A737" s="1">
        <v>44201</v>
      </c>
    </row>
    <row r="738" spans="1:1" x14ac:dyDescent="0.3">
      <c r="A738" s="1">
        <v>44202</v>
      </c>
    </row>
    <row r="739" spans="1:1" x14ac:dyDescent="0.3">
      <c r="A739" s="1">
        <v>44203</v>
      </c>
    </row>
    <row r="740" spans="1:1" x14ac:dyDescent="0.3">
      <c r="A740" s="1">
        <v>44204</v>
      </c>
    </row>
    <row r="741" spans="1:1" x14ac:dyDescent="0.3">
      <c r="A741" s="1">
        <v>44205</v>
      </c>
    </row>
    <row r="742" spans="1:1" x14ac:dyDescent="0.3">
      <c r="A742" s="1">
        <v>44206</v>
      </c>
    </row>
    <row r="743" spans="1:1" x14ac:dyDescent="0.3">
      <c r="A743" s="1">
        <v>44207</v>
      </c>
    </row>
    <row r="744" spans="1:1" x14ac:dyDescent="0.3">
      <c r="A744" s="1">
        <v>44208</v>
      </c>
    </row>
    <row r="745" spans="1:1" x14ac:dyDescent="0.3">
      <c r="A745" s="1">
        <v>44209</v>
      </c>
    </row>
    <row r="746" spans="1:1" x14ac:dyDescent="0.3">
      <c r="A746" s="1">
        <v>44210</v>
      </c>
    </row>
    <row r="747" spans="1:1" x14ac:dyDescent="0.3">
      <c r="A747" s="1">
        <v>44211</v>
      </c>
    </row>
    <row r="748" spans="1:1" x14ac:dyDescent="0.3">
      <c r="A748" s="1">
        <v>44212</v>
      </c>
    </row>
    <row r="749" spans="1:1" x14ac:dyDescent="0.3">
      <c r="A749" s="1">
        <v>44213</v>
      </c>
    </row>
    <row r="750" spans="1:1" x14ac:dyDescent="0.3">
      <c r="A750" s="1">
        <v>44214</v>
      </c>
    </row>
    <row r="751" spans="1:1" x14ac:dyDescent="0.3">
      <c r="A751" s="1">
        <v>44215</v>
      </c>
    </row>
    <row r="752" spans="1:1" x14ac:dyDescent="0.3">
      <c r="A752" s="1">
        <v>44216</v>
      </c>
    </row>
    <row r="753" spans="1:1" x14ac:dyDescent="0.3">
      <c r="A753" s="1">
        <v>44217</v>
      </c>
    </row>
    <row r="754" spans="1:1" x14ac:dyDescent="0.3">
      <c r="A754" s="1">
        <v>44218</v>
      </c>
    </row>
    <row r="755" spans="1:1" x14ac:dyDescent="0.3">
      <c r="A755" s="1">
        <v>44219</v>
      </c>
    </row>
    <row r="756" spans="1:1" x14ac:dyDescent="0.3">
      <c r="A756" s="1">
        <v>44220</v>
      </c>
    </row>
    <row r="757" spans="1:1" x14ac:dyDescent="0.3">
      <c r="A757" s="1">
        <v>44221</v>
      </c>
    </row>
    <row r="758" spans="1:1" x14ac:dyDescent="0.3">
      <c r="A758" s="1">
        <v>44222</v>
      </c>
    </row>
    <row r="759" spans="1:1" x14ac:dyDescent="0.3">
      <c r="A759" s="1">
        <v>44223</v>
      </c>
    </row>
    <row r="760" spans="1:1" x14ac:dyDescent="0.3">
      <c r="A760" s="1">
        <v>44224</v>
      </c>
    </row>
    <row r="761" spans="1:1" x14ac:dyDescent="0.3">
      <c r="A761" s="1">
        <v>44225</v>
      </c>
    </row>
    <row r="762" spans="1:1" x14ac:dyDescent="0.3">
      <c r="A762" s="1">
        <v>44226</v>
      </c>
    </row>
    <row r="763" spans="1:1" x14ac:dyDescent="0.3">
      <c r="A763" s="1">
        <v>44227</v>
      </c>
    </row>
    <row r="764" spans="1:1" x14ac:dyDescent="0.3">
      <c r="A764" s="1">
        <v>44228</v>
      </c>
    </row>
    <row r="765" spans="1:1" x14ac:dyDescent="0.3">
      <c r="A765" s="1">
        <v>44229</v>
      </c>
    </row>
    <row r="766" spans="1:1" x14ac:dyDescent="0.3">
      <c r="A766" s="1">
        <v>44230</v>
      </c>
    </row>
    <row r="767" spans="1:1" x14ac:dyDescent="0.3">
      <c r="A767" s="1">
        <v>44231</v>
      </c>
    </row>
    <row r="768" spans="1:1" x14ac:dyDescent="0.3">
      <c r="A768" s="1">
        <v>44232</v>
      </c>
    </row>
    <row r="769" spans="1:1" x14ac:dyDescent="0.3">
      <c r="A769" s="1">
        <v>44233</v>
      </c>
    </row>
    <row r="770" spans="1:1" x14ac:dyDescent="0.3">
      <c r="A770" s="1">
        <v>44234</v>
      </c>
    </row>
    <row r="771" spans="1:1" x14ac:dyDescent="0.3">
      <c r="A771" s="1">
        <v>44235</v>
      </c>
    </row>
    <row r="772" spans="1:1" x14ac:dyDescent="0.3">
      <c r="A772" s="1">
        <v>44236</v>
      </c>
    </row>
    <row r="773" spans="1:1" x14ac:dyDescent="0.3">
      <c r="A773" s="1">
        <v>44237</v>
      </c>
    </row>
    <row r="774" spans="1:1" x14ac:dyDescent="0.3">
      <c r="A774" s="1">
        <v>44238</v>
      </c>
    </row>
    <row r="775" spans="1:1" x14ac:dyDescent="0.3">
      <c r="A775" s="1">
        <v>44239</v>
      </c>
    </row>
    <row r="776" spans="1:1" x14ac:dyDescent="0.3">
      <c r="A776" s="1">
        <v>44240</v>
      </c>
    </row>
    <row r="777" spans="1:1" x14ac:dyDescent="0.3">
      <c r="A777" s="1">
        <v>44241</v>
      </c>
    </row>
    <row r="778" spans="1:1" x14ac:dyDescent="0.3">
      <c r="A778" s="1">
        <v>44242</v>
      </c>
    </row>
    <row r="779" spans="1:1" x14ac:dyDescent="0.3">
      <c r="A779" s="1">
        <v>44243</v>
      </c>
    </row>
    <row r="780" spans="1:1" x14ac:dyDescent="0.3">
      <c r="A780" s="1">
        <v>44244</v>
      </c>
    </row>
    <row r="781" spans="1:1" x14ac:dyDescent="0.3">
      <c r="A781" s="1">
        <v>44245</v>
      </c>
    </row>
    <row r="782" spans="1:1" x14ac:dyDescent="0.3">
      <c r="A782" s="1">
        <v>44246</v>
      </c>
    </row>
    <row r="783" spans="1:1" x14ac:dyDescent="0.3">
      <c r="A783" s="1">
        <v>44247</v>
      </c>
    </row>
    <row r="784" spans="1:1" x14ac:dyDescent="0.3">
      <c r="A784" s="1">
        <v>44248</v>
      </c>
    </row>
    <row r="785" spans="1:1" x14ac:dyDescent="0.3">
      <c r="A785" s="1">
        <v>44249</v>
      </c>
    </row>
    <row r="786" spans="1:1" x14ac:dyDescent="0.3">
      <c r="A786" s="1">
        <v>44250</v>
      </c>
    </row>
    <row r="787" spans="1:1" x14ac:dyDescent="0.3">
      <c r="A787" s="1">
        <v>44251</v>
      </c>
    </row>
    <row r="788" spans="1:1" x14ac:dyDescent="0.3">
      <c r="A788" s="1">
        <v>44252</v>
      </c>
    </row>
    <row r="789" spans="1:1" x14ac:dyDescent="0.3">
      <c r="A789" s="1">
        <v>44253</v>
      </c>
    </row>
    <row r="790" spans="1:1" x14ac:dyDescent="0.3">
      <c r="A790" s="1">
        <v>44254</v>
      </c>
    </row>
    <row r="791" spans="1:1" x14ac:dyDescent="0.3">
      <c r="A791" s="1">
        <v>44255</v>
      </c>
    </row>
    <row r="792" spans="1:1" x14ac:dyDescent="0.3">
      <c r="A792" s="1">
        <v>44256</v>
      </c>
    </row>
    <row r="793" spans="1:1" x14ac:dyDescent="0.3">
      <c r="A793" s="1">
        <v>44257</v>
      </c>
    </row>
    <row r="794" spans="1:1" x14ac:dyDescent="0.3">
      <c r="A794" s="1">
        <v>44258</v>
      </c>
    </row>
    <row r="795" spans="1:1" x14ac:dyDescent="0.3">
      <c r="A795" s="1">
        <v>44259</v>
      </c>
    </row>
    <row r="796" spans="1:1" x14ac:dyDescent="0.3">
      <c r="A796" s="1">
        <v>44260</v>
      </c>
    </row>
    <row r="797" spans="1:1" x14ac:dyDescent="0.3">
      <c r="A797" s="1">
        <v>44261</v>
      </c>
    </row>
    <row r="798" spans="1:1" x14ac:dyDescent="0.3">
      <c r="A798" s="1">
        <v>44262</v>
      </c>
    </row>
    <row r="799" spans="1:1" x14ac:dyDescent="0.3">
      <c r="A799" s="1">
        <v>44263</v>
      </c>
    </row>
    <row r="800" spans="1:1" x14ac:dyDescent="0.3">
      <c r="A800" s="1">
        <v>44264</v>
      </c>
    </row>
    <row r="801" spans="1:1" x14ac:dyDescent="0.3">
      <c r="A801" s="1">
        <v>44265</v>
      </c>
    </row>
    <row r="802" spans="1:1" x14ac:dyDescent="0.3">
      <c r="A802" s="1">
        <v>44266</v>
      </c>
    </row>
    <row r="803" spans="1:1" x14ac:dyDescent="0.3">
      <c r="A803" s="1">
        <v>44267</v>
      </c>
    </row>
    <row r="804" spans="1:1" x14ac:dyDescent="0.3">
      <c r="A804" s="1">
        <v>44268</v>
      </c>
    </row>
    <row r="805" spans="1:1" x14ac:dyDescent="0.3">
      <c r="A805" s="1">
        <v>44269</v>
      </c>
    </row>
    <row r="806" spans="1:1" x14ac:dyDescent="0.3">
      <c r="A806" s="1">
        <v>44270</v>
      </c>
    </row>
    <row r="807" spans="1:1" x14ac:dyDescent="0.3">
      <c r="A807" s="1">
        <v>44271</v>
      </c>
    </row>
    <row r="808" spans="1:1" x14ac:dyDescent="0.3">
      <c r="A808" s="1">
        <v>44272</v>
      </c>
    </row>
    <row r="809" spans="1:1" x14ac:dyDescent="0.3">
      <c r="A809" s="1">
        <v>44273</v>
      </c>
    </row>
    <row r="810" spans="1:1" x14ac:dyDescent="0.3">
      <c r="A810" s="1">
        <v>44274</v>
      </c>
    </row>
    <row r="811" spans="1:1" x14ac:dyDescent="0.3">
      <c r="A811" s="1">
        <v>44275</v>
      </c>
    </row>
    <row r="812" spans="1:1" x14ac:dyDescent="0.3">
      <c r="A812" s="1">
        <v>44276</v>
      </c>
    </row>
    <row r="813" spans="1:1" x14ac:dyDescent="0.3">
      <c r="A813" s="1">
        <v>44277</v>
      </c>
    </row>
    <row r="814" spans="1:1" x14ac:dyDescent="0.3">
      <c r="A814" s="1">
        <v>44278</v>
      </c>
    </row>
    <row r="815" spans="1:1" x14ac:dyDescent="0.3">
      <c r="A815" s="1">
        <v>44279</v>
      </c>
    </row>
    <row r="816" spans="1:1" x14ac:dyDescent="0.3">
      <c r="A816" s="1">
        <v>44280</v>
      </c>
    </row>
    <row r="817" spans="1:1" x14ac:dyDescent="0.3">
      <c r="A817" s="1">
        <v>44281</v>
      </c>
    </row>
    <row r="818" spans="1:1" x14ac:dyDescent="0.3">
      <c r="A818" s="1">
        <v>44282</v>
      </c>
    </row>
    <row r="819" spans="1:1" x14ac:dyDescent="0.3">
      <c r="A819" s="1">
        <v>44283</v>
      </c>
    </row>
    <row r="820" spans="1:1" x14ac:dyDescent="0.3">
      <c r="A820" s="1">
        <v>44284</v>
      </c>
    </row>
    <row r="821" spans="1:1" x14ac:dyDescent="0.3">
      <c r="A821" s="1">
        <v>44285</v>
      </c>
    </row>
    <row r="822" spans="1:1" x14ac:dyDescent="0.3">
      <c r="A822" s="1">
        <v>44286</v>
      </c>
    </row>
    <row r="823" spans="1:1" x14ac:dyDescent="0.3">
      <c r="A823" s="1">
        <v>44287</v>
      </c>
    </row>
    <row r="824" spans="1:1" x14ac:dyDescent="0.3">
      <c r="A824" s="1">
        <v>44288</v>
      </c>
    </row>
    <row r="825" spans="1:1" x14ac:dyDescent="0.3">
      <c r="A825" s="1">
        <v>44289</v>
      </c>
    </row>
    <row r="826" spans="1:1" x14ac:dyDescent="0.3">
      <c r="A826" s="1">
        <v>44290</v>
      </c>
    </row>
    <row r="827" spans="1:1" x14ac:dyDescent="0.3">
      <c r="A827" s="1">
        <v>44291</v>
      </c>
    </row>
    <row r="828" spans="1:1" x14ac:dyDescent="0.3">
      <c r="A828" s="1">
        <v>44292</v>
      </c>
    </row>
    <row r="829" spans="1:1" x14ac:dyDescent="0.3">
      <c r="A829" s="1">
        <v>44293</v>
      </c>
    </row>
    <row r="830" spans="1:1" x14ac:dyDescent="0.3">
      <c r="A830" s="1">
        <v>44294</v>
      </c>
    </row>
    <row r="831" spans="1:1" x14ac:dyDescent="0.3">
      <c r="A831" s="1">
        <v>44295</v>
      </c>
    </row>
    <row r="832" spans="1:1" x14ac:dyDescent="0.3">
      <c r="A832" s="1">
        <v>44296</v>
      </c>
    </row>
    <row r="833" spans="1:1" x14ac:dyDescent="0.3">
      <c r="A833" s="1">
        <v>44297</v>
      </c>
    </row>
    <row r="834" spans="1:1" x14ac:dyDescent="0.3">
      <c r="A834" s="1">
        <v>44298</v>
      </c>
    </row>
    <row r="835" spans="1:1" x14ac:dyDescent="0.3">
      <c r="A835" s="1">
        <v>44299</v>
      </c>
    </row>
    <row r="836" spans="1:1" x14ac:dyDescent="0.3">
      <c r="A836" s="1">
        <v>44300</v>
      </c>
    </row>
    <row r="837" spans="1:1" x14ac:dyDescent="0.3">
      <c r="A837" s="1">
        <v>44301</v>
      </c>
    </row>
    <row r="838" spans="1:1" x14ac:dyDescent="0.3">
      <c r="A838" s="1">
        <v>44302</v>
      </c>
    </row>
    <row r="839" spans="1:1" x14ac:dyDescent="0.3">
      <c r="A839" s="1">
        <v>44303</v>
      </c>
    </row>
    <row r="840" spans="1:1" x14ac:dyDescent="0.3">
      <c r="A840" s="1">
        <v>44304</v>
      </c>
    </row>
    <row r="841" spans="1:1" x14ac:dyDescent="0.3">
      <c r="A841" s="1">
        <v>44305</v>
      </c>
    </row>
    <row r="842" spans="1:1" x14ac:dyDescent="0.3">
      <c r="A842" s="1">
        <v>44306</v>
      </c>
    </row>
    <row r="843" spans="1:1" x14ac:dyDescent="0.3">
      <c r="A843" s="1">
        <v>44307</v>
      </c>
    </row>
    <row r="844" spans="1:1" x14ac:dyDescent="0.3">
      <c r="A844" s="1">
        <v>44308</v>
      </c>
    </row>
    <row r="845" spans="1:1" x14ac:dyDescent="0.3">
      <c r="A845" s="1">
        <v>44309</v>
      </c>
    </row>
    <row r="846" spans="1:1" x14ac:dyDescent="0.3">
      <c r="A846" s="1">
        <v>44310</v>
      </c>
    </row>
    <row r="847" spans="1:1" x14ac:dyDescent="0.3">
      <c r="A847" s="1">
        <v>44311</v>
      </c>
    </row>
    <row r="848" spans="1:1" x14ac:dyDescent="0.3">
      <c r="A848" s="1">
        <v>44312</v>
      </c>
    </row>
    <row r="849" spans="1:1" x14ac:dyDescent="0.3">
      <c r="A849" s="1">
        <v>44313</v>
      </c>
    </row>
    <row r="850" spans="1:1" x14ac:dyDescent="0.3">
      <c r="A850" s="1">
        <v>44314</v>
      </c>
    </row>
    <row r="851" spans="1:1" x14ac:dyDescent="0.3">
      <c r="A851" s="1">
        <v>44315</v>
      </c>
    </row>
    <row r="852" spans="1:1" x14ac:dyDescent="0.3">
      <c r="A852" s="1">
        <v>44316</v>
      </c>
    </row>
    <row r="853" spans="1:1" x14ac:dyDescent="0.3">
      <c r="A853" s="1">
        <v>44317</v>
      </c>
    </row>
    <row r="854" spans="1:1" x14ac:dyDescent="0.3">
      <c r="A854" s="1">
        <v>44318</v>
      </c>
    </row>
    <row r="855" spans="1:1" x14ac:dyDescent="0.3">
      <c r="A855" s="1">
        <v>44319</v>
      </c>
    </row>
    <row r="856" spans="1:1" x14ac:dyDescent="0.3">
      <c r="A856" s="1">
        <v>44320</v>
      </c>
    </row>
    <row r="857" spans="1:1" x14ac:dyDescent="0.3">
      <c r="A857" s="1">
        <v>44321</v>
      </c>
    </row>
    <row r="858" spans="1:1" x14ac:dyDescent="0.3">
      <c r="A858" s="1">
        <v>44322</v>
      </c>
    </row>
    <row r="859" spans="1:1" x14ac:dyDescent="0.3">
      <c r="A859" s="1">
        <v>44323</v>
      </c>
    </row>
    <row r="860" spans="1:1" x14ac:dyDescent="0.3">
      <c r="A860" s="1">
        <v>44324</v>
      </c>
    </row>
    <row r="861" spans="1:1" x14ac:dyDescent="0.3">
      <c r="A861" s="1">
        <v>44325</v>
      </c>
    </row>
    <row r="862" spans="1:1" x14ac:dyDescent="0.3">
      <c r="A862" s="1">
        <v>44326</v>
      </c>
    </row>
    <row r="863" spans="1:1" x14ac:dyDescent="0.3">
      <c r="A863" s="1">
        <v>44327</v>
      </c>
    </row>
    <row r="864" spans="1:1" x14ac:dyDescent="0.3">
      <c r="A864" s="1">
        <v>44328</v>
      </c>
    </row>
    <row r="865" spans="1:1" x14ac:dyDescent="0.3">
      <c r="A865" s="1">
        <v>44329</v>
      </c>
    </row>
    <row r="866" spans="1:1" x14ac:dyDescent="0.3">
      <c r="A866" s="1">
        <v>44330</v>
      </c>
    </row>
    <row r="867" spans="1:1" x14ac:dyDescent="0.3">
      <c r="A867" s="1">
        <v>44331</v>
      </c>
    </row>
    <row r="868" spans="1:1" x14ac:dyDescent="0.3">
      <c r="A868" s="1">
        <v>44332</v>
      </c>
    </row>
    <row r="869" spans="1:1" x14ac:dyDescent="0.3">
      <c r="A869" s="1">
        <v>44333</v>
      </c>
    </row>
    <row r="870" spans="1:1" x14ac:dyDescent="0.3">
      <c r="A870" s="1">
        <v>44334</v>
      </c>
    </row>
    <row r="871" spans="1:1" x14ac:dyDescent="0.3">
      <c r="A871" s="1">
        <v>44335</v>
      </c>
    </row>
    <row r="872" spans="1:1" x14ac:dyDescent="0.3">
      <c r="A872" s="1">
        <v>44336</v>
      </c>
    </row>
    <row r="873" spans="1:1" x14ac:dyDescent="0.3">
      <c r="A873" s="1">
        <v>44337</v>
      </c>
    </row>
    <row r="874" spans="1:1" x14ac:dyDescent="0.3">
      <c r="A874" s="1">
        <v>44338</v>
      </c>
    </row>
    <row r="875" spans="1:1" x14ac:dyDescent="0.3">
      <c r="A875" s="1">
        <v>44339</v>
      </c>
    </row>
    <row r="876" spans="1:1" x14ac:dyDescent="0.3">
      <c r="A876" s="1">
        <v>44340</v>
      </c>
    </row>
    <row r="877" spans="1:1" x14ac:dyDescent="0.3">
      <c r="A877" s="1">
        <v>44341</v>
      </c>
    </row>
    <row r="878" spans="1:1" x14ac:dyDescent="0.3">
      <c r="A878" s="1">
        <v>44342</v>
      </c>
    </row>
    <row r="879" spans="1:1" x14ac:dyDescent="0.3">
      <c r="A879" s="1">
        <v>44343</v>
      </c>
    </row>
    <row r="880" spans="1:1" x14ac:dyDescent="0.3">
      <c r="A880" s="1">
        <v>44344</v>
      </c>
    </row>
    <row r="881" spans="1:1" x14ac:dyDescent="0.3">
      <c r="A881" s="1">
        <v>44345</v>
      </c>
    </row>
    <row r="882" spans="1:1" x14ac:dyDescent="0.3">
      <c r="A882" s="1">
        <v>44346</v>
      </c>
    </row>
    <row r="883" spans="1:1" x14ac:dyDescent="0.3">
      <c r="A883" s="1">
        <v>44347</v>
      </c>
    </row>
    <row r="884" spans="1:1" x14ac:dyDescent="0.3">
      <c r="A884" s="1">
        <v>44348</v>
      </c>
    </row>
    <row r="885" spans="1:1" x14ac:dyDescent="0.3">
      <c r="A885" s="1">
        <v>44349</v>
      </c>
    </row>
    <row r="886" spans="1:1" x14ac:dyDescent="0.3">
      <c r="A886" s="1">
        <v>44350</v>
      </c>
    </row>
    <row r="887" spans="1:1" x14ac:dyDescent="0.3">
      <c r="A887" s="1">
        <v>44351</v>
      </c>
    </row>
    <row r="888" spans="1:1" x14ac:dyDescent="0.3">
      <c r="A888" s="1">
        <v>44352</v>
      </c>
    </row>
    <row r="889" spans="1:1" x14ac:dyDescent="0.3">
      <c r="A889" s="1">
        <v>44353</v>
      </c>
    </row>
    <row r="890" spans="1:1" x14ac:dyDescent="0.3">
      <c r="A890" s="1">
        <v>44354</v>
      </c>
    </row>
    <row r="891" spans="1:1" x14ac:dyDescent="0.3">
      <c r="A891" s="1">
        <v>44355</v>
      </c>
    </row>
    <row r="892" spans="1:1" x14ac:dyDescent="0.3">
      <c r="A892" s="1">
        <v>44356</v>
      </c>
    </row>
    <row r="893" spans="1:1" x14ac:dyDescent="0.3">
      <c r="A893" s="1">
        <v>44357</v>
      </c>
    </row>
    <row r="894" spans="1:1" x14ac:dyDescent="0.3">
      <c r="A894" s="1">
        <v>44358</v>
      </c>
    </row>
    <row r="895" spans="1:1" x14ac:dyDescent="0.3">
      <c r="A895" s="1">
        <v>44359</v>
      </c>
    </row>
    <row r="896" spans="1:1" x14ac:dyDescent="0.3">
      <c r="A896" s="1">
        <v>44360</v>
      </c>
    </row>
    <row r="897" spans="1:1" x14ac:dyDescent="0.3">
      <c r="A897" s="1">
        <v>44361</v>
      </c>
    </row>
    <row r="898" spans="1:1" x14ac:dyDescent="0.3">
      <c r="A898" s="1">
        <v>44362</v>
      </c>
    </row>
    <row r="899" spans="1:1" x14ac:dyDescent="0.3">
      <c r="A899" s="1">
        <v>44363</v>
      </c>
    </row>
    <row r="900" spans="1:1" x14ac:dyDescent="0.3">
      <c r="A900" s="1">
        <v>44364</v>
      </c>
    </row>
    <row r="901" spans="1:1" x14ac:dyDescent="0.3">
      <c r="A901" s="1">
        <v>44365</v>
      </c>
    </row>
    <row r="902" spans="1:1" x14ac:dyDescent="0.3">
      <c r="A902" s="1">
        <v>44366</v>
      </c>
    </row>
    <row r="903" spans="1:1" x14ac:dyDescent="0.3">
      <c r="A903" s="1">
        <v>44367</v>
      </c>
    </row>
    <row r="904" spans="1:1" x14ac:dyDescent="0.3">
      <c r="A904" s="1">
        <v>44368</v>
      </c>
    </row>
    <row r="905" spans="1:1" x14ac:dyDescent="0.3">
      <c r="A905" s="1">
        <v>44369</v>
      </c>
    </row>
    <row r="906" spans="1:1" x14ac:dyDescent="0.3">
      <c r="A906" s="1">
        <v>44370</v>
      </c>
    </row>
    <row r="907" spans="1:1" x14ac:dyDescent="0.3">
      <c r="A907" s="1">
        <v>44371</v>
      </c>
    </row>
    <row r="908" spans="1:1" x14ac:dyDescent="0.3">
      <c r="A908" s="1">
        <v>44372</v>
      </c>
    </row>
    <row r="909" spans="1:1" x14ac:dyDescent="0.3">
      <c r="A909" s="1">
        <v>44373</v>
      </c>
    </row>
    <row r="910" spans="1:1" x14ac:dyDescent="0.3">
      <c r="A910" s="1">
        <v>44374</v>
      </c>
    </row>
    <row r="911" spans="1:1" x14ac:dyDescent="0.3">
      <c r="A911" s="1">
        <v>44375</v>
      </c>
    </row>
    <row r="912" spans="1:1" x14ac:dyDescent="0.3">
      <c r="A912" s="1">
        <v>44376</v>
      </c>
    </row>
    <row r="913" spans="1:1" x14ac:dyDescent="0.3">
      <c r="A913" s="1">
        <v>44377</v>
      </c>
    </row>
    <row r="914" spans="1:1" x14ac:dyDescent="0.3">
      <c r="A914" s="1">
        <v>44378</v>
      </c>
    </row>
    <row r="915" spans="1:1" x14ac:dyDescent="0.3">
      <c r="A915" s="1">
        <v>44379</v>
      </c>
    </row>
    <row r="916" spans="1:1" x14ac:dyDescent="0.3">
      <c r="A916" s="1">
        <v>44380</v>
      </c>
    </row>
    <row r="917" spans="1:1" x14ac:dyDescent="0.3">
      <c r="A917" s="1">
        <v>44381</v>
      </c>
    </row>
    <row r="918" spans="1:1" x14ac:dyDescent="0.3">
      <c r="A918" s="1">
        <v>44382</v>
      </c>
    </row>
    <row r="919" spans="1:1" x14ac:dyDescent="0.3">
      <c r="A919" s="1">
        <v>44383</v>
      </c>
    </row>
    <row r="920" spans="1:1" x14ac:dyDescent="0.3">
      <c r="A920" s="1">
        <v>44384</v>
      </c>
    </row>
    <row r="921" spans="1:1" x14ac:dyDescent="0.3">
      <c r="A921" s="1">
        <v>44385</v>
      </c>
    </row>
    <row r="922" spans="1:1" x14ac:dyDescent="0.3">
      <c r="A922" s="1">
        <v>44386</v>
      </c>
    </row>
    <row r="923" spans="1:1" x14ac:dyDescent="0.3">
      <c r="A923" s="1">
        <v>44387</v>
      </c>
    </row>
    <row r="924" spans="1:1" x14ac:dyDescent="0.3">
      <c r="A924" s="1">
        <v>44388</v>
      </c>
    </row>
    <row r="925" spans="1:1" x14ac:dyDescent="0.3">
      <c r="A925" s="1">
        <v>44389</v>
      </c>
    </row>
    <row r="926" spans="1:1" x14ac:dyDescent="0.3">
      <c r="A926" s="1">
        <v>44390</v>
      </c>
    </row>
    <row r="927" spans="1:1" x14ac:dyDescent="0.3">
      <c r="A927" s="1">
        <v>44391</v>
      </c>
    </row>
    <row r="928" spans="1:1" x14ac:dyDescent="0.3">
      <c r="A928" s="1">
        <v>44392</v>
      </c>
    </row>
    <row r="929" spans="1:1" x14ac:dyDescent="0.3">
      <c r="A929" s="1">
        <v>44393</v>
      </c>
    </row>
    <row r="930" spans="1:1" x14ac:dyDescent="0.3">
      <c r="A930" s="1">
        <v>44394</v>
      </c>
    </row>
    <row r="931" spans="1:1" x14ac:dyDescent="0.3">
      <c r="A931" s="1">
        <v>44395</v>
      </c>
    </row>
    <row r="932" spans="1:1" x14ac:dyDescent="0.3">
      <c r="A932" s="1">
        <v>44396</v>
      </c>
    </row>
    <row r="933" spans="1:1" x14ac:dyDescent="0.3">
      <c r="A933" s="1">
        <v>44397</v>
      </c>
    </row>
    <row r="934" spans="1:1" x14ac:dyDescent="0.3">
      <c r="A934" s="1">
        <v>44398</v>
      </c>
    </row>
    <row r="935" spans="1:1" x14ac:dyDescent="0.3">
      <c r="A935" s="1">
        <v>44399</v>
      </c>
    </row>
    <row r="936" spans="1:1" x14ac:dyDescent="0.3">
      <c r="A936" s="1">
        <v>44400</v>
      </c>
    </row>
    <row r="937" spans="1:1" x14ac:dyDescent="0.3">
      <c r="A937" s="1">
        <v>44401</v>
      </c>
    </row>
    <row r="938" spans="1:1" x14ac:dyDescent="0.3">
      <c r="A938" s="1">
        <v>44402</v>
      </c>
    </row>
    <row r="939" spans="1:1" x14ac:dyDescent="0.3">
      <c r="A939" s="1">
        <v>44403</v>
      </c>
    </row>
    <row r="940" spans="1:1" x14ac:dyDescent="0.3">
      <c r="A940" s="1">
        <v>44404</v>
      </c>
    </row>
    <row r="941" spans="1:1" x14ac:dyDescent="0.3">
      <c r="A941" s="1">
        <v>44405</v>
      </c>
    </row>
    <row r="942" spans="1:1" x14ac:dyDescent="0.3">
      <c r="A942" s="1">
        <v>44406</v>
      </c>
    </row>
    <row r="943" spans="1:1" x14ac:dyDescent="0.3">
      <c r="A943" s="1">
        <v>44407</v>
      </c>
    </row>
    <row r="944" spans="1:1" x14ac:dyDescent="0.3">
      <c r="A944" s="1">
        <v>44408</v>
      </c>
    </row>
    <row r="945" spans="1:1" x14ac:dyDescent="0.3">
      <c r="A945" s="1">
        <v>44409</v>
      </c>
    </row>
    <row r="946" spans="1:1" x14ac:dyDescent="0.3">
      <c r="A946" s="1">
        <v>44410</v>
      </c>
    </row>
    <row r="947" spans="1:1" x14ac:dyDescent="0.3">
      <c r="A947" s="1">
        <v>44411</v>
      </c>
    </row>
    <row r="948" spans="1:1" x14ac:dyDescent="0.3">
      <c r="A948" s="1">
        <v>44412</v>
      </c>
    </row>
    <row r="949" spans="1:1" x14ac:dyDescent="0.3">
      <c r="A949" s="1">
        <v>44413</v>
      </c>
    </row>
    <row r="950" spans="1:1" x14ac:dyDescent="0.3">
      <c r="A950" s="1">
        <v>44414</v>
      </c>
    </row>
    <row r="951" spans="1:1" x14ac:dyDescent="0.3">
      <c r="A951" s="1">
        <v>44415</v>
      </c>
    </row>
    <row r="952" spans="1:1" x14ac:dyDescent="0.3">
      <c r="A952" s="1">
        <v>44416</v>
      </c>
    </row>
    <row r="953" spans="1:1" x14ac:dyDescent="0.3">
      <c r="A953" s="1">
        <v>44417</v>
      </c>
    </row>
    <row r="954" spans="1:1" x14ac:dyDescent="0.3">
      <c r="A954" s="1">
        <v>44418</v>
      </c>
    </row>
    <row r="955" spans="1:1" x14ac:dyDescent="0.3">
      <c r="A955" s="1">
        <v>44419</v>
      </c>
    </row>
    <row r="956" spans="1:1" x14ac:dyDescent="0.3">
      <c r="A956" s="1">
        <v>44420</v>
      </c>
    </row>
    <row r="957" spans="1:1" x14ac:dyDescent="0.3">
      <c r="A957" s="1">
        <v>44421</v>
      </c>
    </row>
    <row r="958" spans="1:1" x14ac:dyDescent="0.3">
      <c r="A958" s="1">
        <v>44422</v>
      </c>
    </row>
    <row r="959" spans="1:1" x14ac:dyDescent="0.3">
      <c r="A959" s="1">
        <v>44423</v>
      </c>
    </row>
    <row r="960" spans="1:1" x14ac:dyDescent="0.3">
      <c r="A960" s="1">
        <v>44424</v>
      </c>
    </row>
    <row r="961" spans="1:1" x14ac:dyDescent="0.3">
      <c r="A961" s="1">
        <v>44425</v>
      </c>
    </row>
    <row r="962" spans="1:1" x14ac:dyDescent="0.3">
      <c r="A962" s="1">
        <v>44426</v>
      </c>
    </row>
    <row r="963" spans="1:1" x14ac:dyDescent="0.3">
      <c r="A963" s="1">
        <v>44427</v>
      </c>
    </row>
    <row r="964" spans="1:1" x14ac:dyDescent="0.3">
      <c r="A964" s="1">
        <v>44428</v>
      </c>
    </row>
    <row r="965" spans="1:1" x14ac:dyDescent="0.3">
      <c r="A965" s="1">
        <v>44429</v>
      </c>
    </row>
    <row r="966" spans="1:1" x14ac:dyDescent="0.3">
      <c r="A966" s="1">
        <v>44430</v>
      </c>
    </row>
    <row r="967" spans="1:1" x14ac:dyDescent="0.3">
      <c r="A967" s="1">
        <v>44431</v>
      </c>
    </row>
    <row r="968" spans="1:1" x14ac:dyDescent="0.3">
      <c r="A968" s="1">
        <v>44432</v>
      </c>
    </row>
    <row r="969" spans="1:1" x14ac:dyDescent="0.3">
      <c r="A969" s="1">
        <v>44433</v>
      </c>
    </row>
    <row r="970" spans="1:1" x14ac:dyDescent="0.3">
      <c r="A970" s="1">
        <v>44434</v>
      </c>
    </row>
    <row r="971" spans="1:1" x14ac:dyDescent="0.3">
      <c r="A971" s="1">
        <v>44435</v>
      </c>
    </row>
    <row r="972" spans="1:1" x14ac:dyDescent="0.3">
      <c r="A972" s="1">
        <v>44436</v>
      </c>
    </row>
    <row r="973" spans="1:1" x14ac:dyDescent="0.3">
      <c r="A973" s="1">
        <v>44437</v>
      </c>
    </row>
    <row r="974" spans="1:1" x14ac:dyDescent="0.3">
      <c r="A974" s="1">
        <v>44438</v>
      </c>
    </row>
    <row r="975" spans="1:1" x14ac:dyDescent="0.3">
      <c r="A975" s="1">
        <v>44439</v>
      </c>
    </row>
    <row r="976" spans="1:1" x14ac:dyDescent="0.3">
      <c r="A976" s="1">
        <v>44440</v>
      </c>
    </row>
    <row r="977" spans="1:1" x14ac:dyDescent="0.3">
      <c r="A977" s="1">
        <v>44441</v>
      </c>
    </row>
    <row r="978" spans="1:1" x14ac:dyDescent="0.3">
      <c r="A978" s="1">
        <v>44442</v>
      </c>
    </row>
    <row r="979" spans="1:1" x14ac:dyDescent="0.3">
      <c r="A979" s="1">
        <v>44443</v>
      </c>
    </row>
    <row r="980" spans="1:1" x14ac:dyDescent="0.3">
      <c r="A980" s="1">
        <v>44444</v>
      </c>
    </row>
    <row r="981" spans="1:1" x14ac:dyDescent="0.3">
      <c r="A981" s="1">
        <v>44445</v>
      </c>
    </row>
    <row r="982" spans="1:1" x14ac:dyDescent="0.3">
      <c r="A982" s="1">
        <v>44446</v>
      </c>
    </row>
    <row r="983" spans="1:1" x14ac:dyDescent="0.3">
      <c r="A983" s="1">
        <v>44447</v>
      </c>
    </row>
    <row r="984" spans="1:1" x14ac:dyDescent="0.3">
      <c r="A984" s="1">
        <v>44448</v>
      </c>
    </row>
    <row r="985" spans="1:1" x14ac:dyDescent="0.3">
      <c r="A985" s="1">
        <v>44449</v>
      </c>
    </row>
    <row r="986" spans="1:1" x14ac:dyDescent="0.3">
      <c r="A986" s="1">
        <v>44450</v>
      </c>
    </row>
    <row r="987" spans="1:1" x14ac:dyDescent="0.3">
      <c r="A987" s="1">
        <v>44451</v>
      </c>
    </row>
    <row r="988" spans="1:1" x14ac:dyDescent="0.3">
      <c r="A988" s="1">
        <v>44452</v>
      </c>
    </row>
    <row r="989" spans="1:1" x14ac:dyDescent="0.3">
      <c r="A989" s="1">
        <v>44453</v>
      </c>
    </row>
    <row r="990" spans="1:1" x14ac:dyDescent="0.3">
      <c r="A990" s="1">
        <v>44454</v>
      </c>
    </row>
    <row r="991" spans="1:1" x14ac:dyDescent="0.3">
      <c r="A991" s="1">
        <v>44455</v>
      </c>
    </row>
    <row r="992" spans="1:1" x14ac:dyDescent="0.3">
      <c r="A992" s="1">
        <v>44456</v>
      </c>
    </row>
    <row r="993" spans="1:1" x14ac:dyDescent="0.3">
      <c r="A993" s="1">
        <v>44457</v>
      </c>
    </row>
    <row r="994" spans="1:1" x14ac:dyDescent="0.3">
      <c r="A994" s="1">
        <v>44458</v>
      </c>
    </row>
    <row r="995" spans="1:1" x14ac:dyDescent="0.3">
      <c r="A995" s="1">
        <v>44459</v>
      </c>
    </row>
    <row r="996" spans="1:1" x14ac:dyDescent="0.3">
      <c r="A996" s="1">
        <v>44460</v>
      </c>
    </row>
    <row r="997" spans="1:1" x14ac:dyDescent="0.3">
      <c r="A997" s="1">
        <v>44461</v>
      </c>
    </row>
    <row r="998" spans="1:1" x14ac:dyDescent="0.3">
      <c r="A998" s="1">
        <v>44462</v>
      </c>
    </row>
    <row r="999" spans="1:1" x14ac:dyDescent="0.3">
      <c r="A999" s="1">
        <v>44463</v>
      </c>
    </row>
    <row r="1000" spans="1:1" x14ac:dyDescent="0.3">
      <c r="A1000" s="1">
        <v>44464</v>
      </c>
    </row>
    <row r="1001" spans="1:1" x14ac:dyDescent="0.3">
      <c r="A1001" s="1">
        <v>44465</v>
      </c>
    </row>
    <row r="1002" spans="1:1" x14ac:dyDescent="0.3">
      <c r="A1002" s="1">
        <v>44466</v>
      </c>
    </row>
    <row r="1003" spans="1:1" x14ac:dyDescent="0.3">
      <c r="A1003" s="1">
        <v>44467</v>
      </c>
    </row>
    <row r="1004" spans="1:1" x14ac:dyDescent="0.3">
      <c r="A1004" s="1">
        <v>44468</v>
      </c>
    </row>
    <row r="1005" spans="1:1" x14ac:dyDescent="0.3">
      <c r="A1005" s="1">
        <v>44469</v>
      </c>
    </row>
    <row r="1006" spans="1:1" x14ac:dyDescent="0.3">
      <c r="A1006" s="1">
        <v>44470</v>
      </c>
    </row>
    <row r="1007" spans="1:1" x14ac:dyDescent="0.3">
      <c r="A1007" s="1">
        <v>44471</v>
      </c>
    </row>
    <row r="1008" spans="1:1" x14ac:dyDescent="0.3">
      <c r="A1008" s="1">
        <v>44472</v>
      </c>
    </row>
    <row r="1009" spans="1:1" x14ac:dyDescent="0.3">
      <c r="A1009" s="1">
        <v>44473</v>
      </c>
    </row>
    <row r="1010" spans="1:1" x14ac:dyDescent="0.3">
      <c r="A1010" s="1">
        <v>44474</v>
      </c>
    </row>
    <row r="1011" spans="1:1" x14ac:dyDescent="0.3">
      <c r="A1011" s="1">
        <v>44475</v>
      </c>
    </row>
    <row r="1012" spans="1:1" x14ac:dyDescent="0.3">
      <c r="A1012" s="1">
        <v>44476</v>
      </c>
    </row>
    <row r="1013" spans="1:1" x14ac:dyDescent="0.3">
      <c r="A1013" s="1">
        <v>44477</v>
      </c>
    </row>
    <row r="1014" spans="1:1" x14ac:dyDescent="0.3">
      <c r="A1014" s="1">
        <v>44478</v>
      </c>
    </row>
    <row r="1015" spans="1:1" x14ac:dyDescent="0.3">
      <c r="A1015" s="1">
        <v>44479</v>
      </c>
    </row>
    <row r="1016" spans="1:1" x14ac:dyDescent="0.3">
      <c r="A1016" s="1">
        <v>44480</v>
      </c>
    </row>
    <row r="1017" spans="1:1" x14ac:dyDescent="0.3">
      <c r="A1017" s="1">
        <v>44481</v>
      </c>
    </row>
    <row r="1018" spans="1:1" x14ac:dyDescent="0.3">
      <c r="A1018" s="1">
        <v>44482</v>
      </c>
    </row>
    <row r="1019" spans="1:1" x14ac:dyDescent="0.3">
      <c r="A1019" s="1">
        <v>44483</v>
      </c>
    </row>
    <row r="1020" spans="1:1" x14ac:dyDescent="0.3">
      <c r="A1020" s="1">
        <v>44484</v>
      </c>
    </row>
    <row r="1021" spans="1:1" x14ac:dyDescent="0.3">
      <c r="A1021" s="1">
        <v>44485</v>
      </c>
    </row>
    <row r="1022" spans="1:1" x14ac:dyDescent="0.3">
      <c r="A1022" s="1">
        <v>44486</v>
      </c>
    </row>
    <row r="1023" spans="1:1" x14ac:dyDescent="0.3">
      <c r="A1023" s="1">
        <v>44487</v>
      </c>
    </row>
    <row r="1024" spans="1:1" x14ac:dyDescent="0.3">
      <c r="A1024" s="1">
        <v>44488</v>
      </c>
    </row>
    <row r="1025" spans="1:1" x14ac:dyDescent="0.3">
      <c r="A1025" s="1">
        <v>44489</v>
      </c>
    </row>
    <row r="1026" spans="1:1" x14ac:dyDescent="0.3">
      <c r="A1026" s="1">
        <v>44490</v>
      </c>
    </row>
    <row r="1027" spans="1:1" x14ac:dyDescent="0.3">
      <c r="A1027" s="1">
        <v>44491</v>
      </c>
    </row>
    <row r="1028" spans="1:1" x14ac:dyDescent="0.3">
      <c r="A1028" s="1">
        <v>44492</v>
      </c>
    </row>
    <row r="1029" spans="1:1" x14ac:dyDescent="0.3">
      <c r="A1029" s="1">
        <v>44493</v>
      </c>
    </row>
    <row r="1030" spans="1:1" x14ac:dyDescent="0.3">
      <c r="A1030" s="1">
        <v>44494</v>
      </c>
    </row>
    <row r="1031" spans="1:1" x14ac:dyDescent="0.3">
      <c r="A1031" s="1">
        <v>44495</v>
      </c>
    </row>
    <row r="1032" spans="1:1" x14ac:dyDescent="0.3">
      <c r="A1032" s="1">
        <v>44496</v>
      </c>
    </row>
    <row r="1033" spans="1:1" x14ac:dyDescent="0.3">
      <c r="A1033" s="1">
        <v>44497</v>
      </c>
    </row>
    <row r="1034" spans="1:1" x14ac:dyDescent="0.3">
      <c r="A1034" s="1">
        <v>44498</v>
      </c>
    </row>
    <row r="1035" spans="1:1" x14ac:dyDescent="0.3">
      <c r="A1035" s="1">
        <v>44499</v>
      </c>
    </row>
    <row r="1036" spans="1:1" x14ac:dyDescent="0.3">
      <c r="A1036" s="1">
        <v>44500</v>
      </c>
    </row>
    <row r="1037" spans="1:1" x14ac:dyDescent="0.3">
      <c r="A1037" s="1">
        <v>44501</v>
      </c>
    </row>
    <row r="1038" spans="1:1" x14ac:dyDescent="0.3">
      <c r="A1038" s="1">
        <v>44502</v>
      </c>
    </row>
    <row r="1039" spans="1:1" x14ac:dyDescent="0.3">
      <c r="A1039" s="1">
        <v>44503</v>
      </c>
    </row>
    <row r="1040" spans="1:1" x14ac:dyDescent="0.3">
      <c r="A1040" s="1">
        <v>44504</v>
      </c>
    </row>
    <row r="1041" spans="1:1" x14ac:dyDescent="0.3">
      <c r="A1041" s="1">
        <v>44505</v>
      </c>
    </row>
    <row r="1042" spans="1:1" x14ac:dyDescent="0.3">
      <c r="A1042" s="1">
        <v>44506</v>
      </c>
    </row>
    <row r="1043" spans="1:1" x14ac:dyDescent="0.3">
      <c r="A1043" s="1">
        <v>44507</v>
      </c>
    </row>
    <row r="1044" spans="1:1" x14ac:dyDescent="0.3">
      <c r="A1044" s="1">
        <v>44508</v>
      </c>
    </row>
    <row r="1045" spans="1:1" x14ac:dyDescent="0.3">
      <c r="A1045" s="1">
        <v>44509</v>
      </c>
    </row>
    <row r="1046" spans="1:1" x14ac:dyDescent="0.3">
      <c r="A1046" s="1">
        <v>44510</v>
      </c>
    </row>
    <row r="1047" spans="1:1" x14ac:dyDescent="0.3">
      <c r="A1047" s="1">
        <v>44511</v>
      </c>
    </row>
    <row r="1048" spans="1:1" x14ac:dyDescent="0.3">
      <c r="A1048" s="1">
        <v>44512</v>
      </c>
    </row>
    <row r="1049" spans="1:1" x14ac:dyDescent="0.3">
      <c r="A1049" s="1">
        <v>44513</v>
      </c>
    </row>
    <row r="1050" spans="1:1" x14ac:dyDescent="0.3">
      <c r="A1050" s="1">
        <v>44514</v>
      </c>
    </row>
    <row r="1051" spans="1:1" x14ac:dyDescent="0.3">
      <c r="A1051" s="1">
        <v>44515</v>
      </c>
    </row>
    <row r="1052" spans="1:1" x14ac:dyDescent="0.3">
      <c r="A1052" s="1">
        <v>44516</v>
      </c>
    </row>
    <row r="1053" spans="1:1" x14ac:dyDescent="0.3">
      <c r="A1053" s="1">
        <v>44517</v>
      </c>
    </row>
    <row r="1054" spans="1:1" x14ac:dyDescent="0.3">
      <c r="A1054" s="1">
        <v>44518</v>
      </c>
    </row>
    <row r="1055" spans="1:1" x14ac:dyDescent="0.3">
      <c r="A1055" s="1">
        <v>44519</v>
      </c>
    </row>
    <row r="1056" spans="1:1" x14ac:dyDescent="0.3">
      <c r="A1056" s="1">
        <v>44520</v>
      </c>
    </row>
    <row r="1057" spans="1:1" x14ac:dyDescent="0.3">
      <c r="A1057" s="1">
        <v>44521</v>
      </c>
    </row>
    <row r="1058" spans="1:1" x14ac:dyDescent="0.3">
      <c r="A1058" s="1">
        <v>44522</v>
      </c>
    </row>
    <row r="1059" spans="1:1" x14ac:dyDescent="0.3">
      <c r="A1059" s="1">
        <v>44523</v>
      </c>
    </row>
    <row r="1060" spans="1:1" x14ac:dyDescent="0.3">
      <c r="A1060" s="1">
        <v>44524</v>
      </c>
    </row>
    <row r="1061" spans="1:1" x14ac:dyDescent="0.3">
      <c r="A1061" s="1">
        <v>44525</v>
      </c>
    </row>
    <row r="1062" spans="1:1" x14ac:dyDescent="0.3">
      <c r="A1062" s="1">
        <v>44526</v>
      </c>
    </row>
    <row r="1063" spans="1:1" x14ac:dyDescent="0.3">
      <c r="A1063" s="1">
        <v>44527</v>
      </c>
    </row>
    <row r="1064" spans="1:1" x14ac:dyDescent="0.3">
      <c r="A1064" s="1">
        <v>44528</v>
      </c>
    </row>
    <row r="1065" spans="1:1" x14ac:dyDescent="0.3">
      <c r="A1065" s="1">
        <v>44529</v>
      </c>
    </row>
    <row r="1066" spans="1:1" x14ac:dyDescent="0.3">
      <c r="A1066" s="1">
        <v>44530</v>
      </c>
    </row>
    <row r="1067" spans="1:1" x14ac:dyDescent="0.3">
      <c r="A1067" s="1">
        <v>44531</v>
      </c>
    </row>
    <row r="1068" spans="1:1" x14ac:dyDescent="0.3">
      <c r="A1068" s="1">
        <v>44532</v>
      </c>
    </row>
    <row r="1069" spans="1:1" x14ac:dyDescent="0.3">
      <c r="A1069" s="1">
        <v>44533</v>
      </c>
    </row>
    <row r="1070" spans="1:1" x14ac:dyDescent="0.3">
      <c r="A1070" s="1">
        <v>44534</v>
      </c>
    </row>
    <row r="1071" spans="1:1" x14ac:dyDescent="0.3">
      <c r="A1071" s="1">
        <v>44535</v>
      </c>
    </row>
    <row r="1072" spans="1:1" x14ac:dyDescent="0.3">
      <c r="A1072" s="1">
        <v>44536</v>
      </c>
    </row>
    <row r="1073" spans="1:1" x14ac:dyDescent="0.3">
      <c r="A1073" s="1">
        <v>44537</v>
      </c>
    </row>
    <row r="1074" spans="1:1" x14ac:dyDescent="0.3">
      <c r="A1074" s="1">
        <v>44538</v>
      </c>
    </row>
    <row r="1075" spans="1:1" x14ac:dyDescent="0.3">
      <c r="A1075" s="1">
        <v>44539</v>
      </c>
    </row>
    <row r="1076" spans="1:1" x14ac:dyDescent="0.3">
      <c r="A1076" s="1">
        <v>44540</v>
      </c>
    </row>
    <row r="1077" spans="1:1" x14ac:dyDescent="0.3">
      <c r="A1077" s="1">
        <v>44541</v>
      </c>
    </row>
    <row r="1078" spans="1:1" x14ac:dyDescent="0.3">
      <c r="A1078" s="1">
        <v>44542</v>
      </c>
    </row>
    <row r="1079" spans="1:1" x14ac:dyDescent="0.3">
      <c r="A1079" s="1">
        <v>44543</v>
      </c>
    </row>
    <row r="1080" spans="1:1" x14ac:dyDescent="0.3">
      <c r="A1080" s="1">
        <v>44544</v>
      </c>
    </row>
    <row r="1081" spans="1:1" x14ac:dyDescent="0.3">
      <c r="A1081" s="1">
        <v>44545</v>
      </c>
    </row>
    <row r="1082" spans="1:1" x14ac:dyDescent="0.3">
      <c r="A1082" s="1">
        <v>44546</v>
      </c>
    </row>
    <row r="1083" spans="1:1" x14ac:dyDescent="0.3">
      <c r="A1083" s="1">
        <v>44547</v>
      </c>
    </row>
    <row r="1084" spans="1:1" x14ac:dyDescent="0.3">
      <c r="A1084" s="1">
        <v>44548</v>
      </c>
    </row>
    <row r="1085" spans="1:1" x14ac:dyDescent="0.3">
      <c r="A1085" s="1">
        <v>44549</v>
      </c>
    </row>
    <row r="1086" spans="1:1" x14ac:dyDescent="0.3">
      <c r="A1086" s="1">
        <v>44550</v>
      </c>
    </row>
    <row r="1087" spans="1:1" x14ac:dyDescent="0.3">
      <c r="A1087" s="1">
        <v>44551</v>
      </c>
    </row>
    <row r="1088" spans="1:1" x14ac:dyDescent="0.3">
      <c r="A1088" s="1">
        <v>44552</v>
      </c>
    </row>
    <row r="1089" spans="1:1" x14ac:dyDescent="0.3">
      <c r="A1089" s="1">
        <v>44553</v>
      </c>
    </row>
    <row r="1090" spans="1:1" x14ac:dyDescent="0.3">
      <c r="A1090" s="1">
        <v>44554</v>
      </c>
    </row>
    <row r="1091" spans="1:1" x14ac:dyDescent="0.3">
      <c r="A1091" s="1">
        <v>44555</v>
      </c>
    </row>
    <row r="1092" spans="1:1" x14ac:dyDescent="0.3">
      <c r="A1092" s="1">
        <v>44556</v>
      </c>
    </row>
    <row r="1093" spans="1:1" x14ac:dyDescent="0.3">
      <c r="A1093" s="1">
        <v>44557</v>
      </c>
    </row>
    <row r="1094" spans="1:1" x14ac:dyDescent="0.3">
      <c r="A1094" s="1">
        <v>44558</v>
      </c>
    </row>
    <row r="1095" spans="1:1" x14ac:dyDescent="0.3">
      <c r="A1095" s="1">
        <v>44559</v>
      </c>
    </row>
    <row r="1096" spans="1:1" x14ac:dyDescent="0.3">
      <c r="A1096" s="1">
        <v>44560</v>
      </c>
    </row>
    <row r="1097" spans="1:1" x14ac:dyDescent="0.3">
      <c r="A1097" s="1">
        <v>44561</v>
      </c>
    </row>
    <row r="1098" spans="1:1" x14ac:dyDescent="0.3">
      <c r="A1098" s="1">
        <v>44562</v>
      </c>
    </row>
    <row r="1099" spans="1:1" x14ac:dyDescent="0.3">
      <c r="A1099" s="1">
        <v>44563</v>
      </c>
    </row>
    <row r="1100" spans="1:1" x14ac:dyDescent="0.3">
      <c r="A1100" s="1">
        <v>44564</v>
      </c>
    </row>
    <row r="1101" spans="1:1" x14ac:dyDescent="0.3">
      <c r="A1101" s="1">
        <v>44565</v>
      </c>
    </row>
    <row r="1102" spans="1:1" x14ac:dyDescent="0.3">
      <c r="A1102" s="1">
        <v>44566</v>
      </c>
    </row>
    <row r="1103" spans="1:1" x14ac:dyDescent="0.3">
      <c r="A1103" s="1">
        <v>44567</v>
      </c>
    </row>
    <row r="1104" spans="1:1" x14ac:dyDescent="0.3">
      <c r="A1104" s="1">
        <v>44568</v>
      </c>
    </row>
    <row r="1105" spans="1:1" x14ac:dyDescent="0.3">
      <c r="A1105" s="1">
        <v>44569</v>
      </c>
    </row>
    <row r="1106" spans="1:1" x14ac:dyDescent="0.3">
      <c r="A1106" s="1">
        <v>44570</v>
      </c>
    </row>
    <row r="1107" spans="1:1" x14ac:dyDescent="0.3">
      <c r="A1107" s="1">
        <v>44571</v>
      </c>
    </row>
    <row r="1108" spans="1:1" x14ac:dyDescent="0.3">
      <c r="A1108" s="1">
        <v>44572</v>
      </c>
    </row>
    <row r="1109" spans="1:1" x14ac:dyDescent="0.3">
      <c r="A1109" s="1">
        <v>44573</v>
      </c>
    </row>
    <row r="1110" spans="1:1" x14ac:dyDescent="0.3">
      <c r="A1110" s="1">
        <v>44574</v>
      </c>
    </row>
    <row r="1111" spans="1:1" x14ac:dyDescent="0.3">
      <c r="A1111" s="1">
        <v>44575</v>
      </c>
    </row>
    <row r="1112" spans="1:1" x14ac:dyDescent="0.3">
      <c r="A1112" s="1">
        <v>44576</v>
      </c>
    </row>
    <row r="1113" spans="1:1" x14ac:dyDescent="0.3">
      <c r="A1113" s="1">
        <v>44577</v>
      </c>
    </row>
    <row r="1114" spans="1:1" x14ac:dyDescent="0.3">
      <c r="A1114" s="1">
        <v>44578</v>
      </c>
    </row>
    <row r="1115" spans="1:1" x14ac:dyDescent="0.3">
      <c r="A1115" s="1">
        <v>44579</v>
      </c>
    </row>
    <row r="1116" spans="1:1" x14ac:dyDescent="0.3">
      <c r="A1116" s="1">
        <v>44580</v>
      </c>
    </row>
    <row r="1117" spans="1:1" x14ac:dyDescent="0.3">
      <c r="A1117" s="1">
        <v>44581</v>
      </c>
    </row>
    <row r="1118" spans="1:1" x14ac:dyDescent="0.3">
      <c r="A1118" s="1">
        <v>44582</v>
      </c>
    </row>
    <row r="1119" spans="1:1" x14ac:dyDescent="0.3">
      <c r="A1119" s="1">
        <v>44583</v>
      </c>
    </row>
    <row r="1120" spans="1:1" x14ac:dyDescent="0.3">
      <c r="A1120" s="1">
        <v>44584</v>
      </c>
    </row>
    <row r="1121" spans="1:1" x14ac:dyDescent="0.3">
      <c r="A1121" s="1">
        <v>44585</v>
      </c>
    </row>
    <row r="1122" spans="1:1" x14ac:dyDescent="0.3">
      <c r="A1122" s="1">
        <v>44586</v>
      </c>
    </row>
    <row r="1123" spans="1:1" x14ac:dyDescent="0.3">
      <c r="A1123" s="1">
        <v>44587</v>
      </c>
    </row>
    <row r="1124" spans="1:1" x14ac:dyDescent="0.3">
      <c r="A1124" s="1">
        <v>44588</v>
      </c>
    </row>
    <row r="1125" spans="1:1" x14ac:dyDescent="0.3">
      <c r="A1125" s="1">
        <v>44589</v>
      </c>
    </row>
    <row r="1126" spans="1:1" x14ac:dyDescent="0.3">
      <c r="A1126" s="1">
        <v>44590</v>
      </c>
    </row>
    <row r="1127" spans="1:1" x14ac:dyDescent="0.3">
      <c r="A1127" s="1">
        <v>44591</v>
      </c>
    </row>
    <row r="1128" spans="1:1" x14ac:dyDescent="0.3">
      <c r="A1128" s="1">
        <v>44592</v>
      </c>
    </row>
    <row r="1129" spans="1:1" x14ac:dyDescent="0.3">
      <c r="A1129" s="1">
        <v>44593</v>
      </c>
    </row>
    <row r="1130" spans="1:1" x14ac:dyDescent="0.3">
      <c r="A1130" s="1">
        <v>44594</v>
      </c>
    </row>
    <row r="1131" spans="1:1" x14ac:dyDescent="0.3">
      <c r="A1131" s="1">
        <v>44595</v>
      </c>
    </row>
    <row r="1132" spans="1:1" x14ac:dyDescent="0.3">
      <c r="A1132" s="1">
        <v>44596</v>
      </c>
    </row>
    <row r="1133" spans="1:1" x14ac:dyDescent="0.3">
      <c r="A1133" s="1">
        <v>44597</v>
      </c>
    </row>
    <row r="1134" spans="1:1" x14ac:dyDescent="0.3">
      <c r="A1134" s="1">
        <v>44598</v>
      </c>
    </row>
    <row r="1135" spans="1:1" x14ac:dyDescent="0.3">
      <c r="A1135" s="1">
        <v>44599</v>
      </c>
    </row>
    <row r="1136" spans="1:1" x14ac:dyDescent="0.3">
      <c r="A1136" s="1">
        <v>44600</v>
      </c>
    </row>
    <row r="1137" spans="1:1" x14ac:dyDescent="0.3">
      <c r="A1137" s="1">
        <v>44601</v>
      </c>
    </row>
    <row r="1138" spans="1:1" x14ac:dyDescent="0.3">
      <c r="A1138" s="1">
        <v>44602</v>
      </c>
    </row>
    <row r="1139" spans="1:1" x14ac:dyDescent="0.3">
      <c r="A1139" s="1">
        <v>44603</v>
      </c>
    </row>
    <row r="1140" spans="1:1" x14ac:dyDescent="0.3">
      <c r="A1140" s="1">
        <v>44604</v>
      </c>
    </row>
    <row r="1141" spans="1:1" x14ac:dyDescent="0.3">
      <c r="A1141" s="1">
        <v>44605</v>
      </c>
    </row>
    <row r="1142" spans="1:1" x14ac:dyDescent="0.3">
      <c r="A1142" s="1">
        <v>44606</v>
      </c>
    </row>
    <row r="1143" spans="1:1" x14ac:dyDescent="0.3">
      <c r="A1143" s="1">
        <v>44607</v>
      </c>
    </row>
    <row r="1144" spans="1:1" x14ac:dyDescent="0.3">
      <c r="A1144" s="1">
        <v>44608</v>
      </c>
    </row>
    <row r="1145" spans="1:1" x14ac:dyDescent="0.3">
      <c r="A1145" s="1">
        <v>44609</v>
      </c>
    </row>
    <row r="1146" spans="1:1" x14ac:dyDescent="0.3">
      <c r="A1146" s="1">
        <v>44610</v>
      </c>
    </row>
    <row r="1147" spans="1:1" x14ac:dyDescent="0.3">
      <c r="A1147" s="1">
        <v>44611</v>
      </c>
    </row>
    <row r="1148" spans="1:1" x14ac:dyDescent="0.3">
      <c r="A1148" s="1">
        <v>44612</v>
      </c>
    </row>
    <row r="1149" spans="1:1" x14ac:dyDescent="0.3">
      <c r="A1149" s="1">
        <v>44613</v>
      </c>
    </row>
    <row r="1150" spans="1:1" x14ac:dyDescent="0.3">
      <c r="A1150" s="1">
        <v>44614</v>
      </c>
    </row>
    <row r="1151" spans="1:1" x14ac:dyDescent="0.3">
      <c r="A1151" s="1">
        <v>44615</v>
      </c>
    </row>
    <row r="1152" spans="1:1" x14ac:dyDescent="0.3">
      <c r="A1152" s="1">
        <v>44616</v>
      </c>
    </row>
    <row r="1153" spans="1:1" x14ac:dyDescent="0.3">
      <c r="A1153" s="1">
        <v>44617</v>
      </c>
    </row>
    <row r="1154" spans="1:1" x14ac:dyDescent="0.3">
      <c r="A1154" s="1">
        <v>44618</v>
      </c>
    </row>
    <row r="1155" spans="1:1" x14ac:dyDescent="0.3">
      <c r="A1155" s="1">
        <v>44619</v>
      </c>
    </row>
    <row r="1156" spans="1:1" x14ac:dyDescent="0.3">
      <c r="A1156" s="1">
        <v>44620</v>
      </c>
    </row>
    <row r="1157" spans="1:1" x14ac:dyDescent="0.3">
      <c r="A1157" s="1">
        <v>44621</v>
      </c>
    </row>
    <row r="1158" spans="1:1" x14ac:dyDescent="0.3">
      <c r="A1158" s="1">
        <v>44622</v>
      </c>
    </row>
    <row r="1159" spans="1:1" x14ac:dyDescent="0.3">
      <c r="A1159" s="1">
        <v>44623</v>
      </c>
    </row>
    <row r="1160" spans="1:1" x14ac:dyDescent="0.3">
      <c r="A1160" s="1">
        <v>44624</v>
      </c>
    </row>
    <row r="1161" spans="1:1" x14ac:dyDescent="0.3">
      <c r="A1161" s="1">
        <v>44625</v>
      </c>
    </row>
    <row r="1162" spans="1:1" x14ac:dyDescent="0.3">
      <c r="A1162" s="1">
        <v>44626</v>
      </c>
    </row>
    <row r="1163" spans="1:1" x14ac:dyDescent="0.3">
      <c r="A1163" s="1">
        <v>44627</v>
      </c>
    </row>
    <row r="1164" spans="1:1" x14ac:dyDescent="0.3">
      <c r="A1164" s="1">
        <v>44628</v>
      </c>
    </row>
    <row r="1165" spans="1:1" x14ac:dyDescent="0.3">
      <c r="A1165" s="1">
        <v>44629</v>
      </c>
    </row>
    <row r="1166" spans="1:1" x14ac:dyDescent="0.3">
      <c r="A1166" s="1">
        <v>44630</v>
      </c>
    </row>
    <row r="1167" spans="1:1" x14ac:dyDescent="0.3">
      <c r="A1167" s="1">
        <v>44631</v>
      </c>
    </row>
    <row r="1168" spans="1:1" x14ac:dyDescent="0.3">
      <c r="A1168" s="1">
        <v>44632</v>
      </c>
    </row>
    <row r="1169" spans="1:1" x14ac:dyDescent="0.3">
      <c r="A1169" s="1">
        <v>44633</v>
      </c>
    </row>
    <row r="1170" spans="1:1" x14ac:dyDescent="0.3">
      <c r="A1170" s="1">
        <v>44634</v>
      </c>
    </row>
    <row r="1171" spans="1:1" x14ac:dyDescent="0.3">
      <c r="A1171" s="1">
        <v>44635</v>
      </c>
    </row>
    <row r="1172" spans="1:1" x14ac:dyDescent="0.3">
      <c r="A1172" s="1">
        <v>44636</v>
      </c>
    </row>
    <row r="1173" spans="1:1" x14ac:dyDescent="0.3">
      <c r="A1173" s="1">
        <v>44637</v>
      </c>
    </row>
    <row r="1174" spans="1:1" x14ac:dyDescent="0.3">
      <c r="A1174" s="1">
        <v>44638</v>
      </c>
    </row>
    <row r="1175" spans="1:1" x14ac:dyDescent="0.3">
      <c r="A1175" s="1">
        <v>44639</v>
      </c>
    </row>
    <row r="1176" spans="1:1" x14ac:dyDescent="0.3">
      <c r="A1176" s="1">
        <v>44640</v>
      </c>
    </row>
    <row r="1177" spans="1:1" x14ac:dyDescent="0.3">
      <c r="A1177" s="1">
        <v>44641</v>
      </c>
    </row>
    <row r="1178" spans="1:1" x14ac:dyDescent="0.3">
      <c r="A1178" s="1">
        <v>44642</v>
      </c>
    </row>
    <row r="1179" spans="1:1" x14ac:dyDescent="0.3">
      <c r="A1179" s="1">
        <v>44643</v>
      </c>
    </row>
    <row r="1180" spans="1:1" x14ac:dyDescent="0.3">
      <c r="A1180" s="1">
        <v>44644</v>
      </c>
    </row>
    <row r="1181" spans="1:1" x14ac:dyDescent="0.3">
      <c r="A1181" s="1">
        <v>44645</v>
      </c>
    </row>
    <row r="1182" spans="1:1" x14ac:dyDescent="0.3">
      <c r="A1182" s="1">
        <v>44646</v>
      </c>
    </row>
    <row r="1183" spans="1:1" x14ac:dyDescent="0.3">
      <c r="A1183" s="1">
        <v>44647</v>
      </c>
    </row>
    <row r="1184" spans="1:1" x14ac:dyDescent="0.3">
      <c r="A1184" s="1">
        <v>44648</v>
      </c>
    </row>
    <row r="1185" spans="1:1" x14ac:dyDescent="0.3">
      <c r="A1185" s="1">
        <v>44649</v>
      </c>
    </row>
    <row r="1186" spans="1:1" x14ac:dyDescent="0.3">
      <c r="A1186" s="1">
        <v>44650</v>
      </c>
    </row>
    <row r="1187" spans="1:1" x14ac:dyDescent="0.3">
      <c r="A1187" s="1">
        <v>44651</v>
      </c>
    </row>
    <row r="1188" spans="1:1" x14ac:dyDescent="0.3">
      <c r="A1188" s="1">
        <v>44652</v>
      </c>
    </row>
    <row r="1189" spans="1:1" x14ac:dyDescent="0.3">
      <c r="A1189" s="1">
        <v>44653</v>
      </c>
    </row>
    <row r="1190" spans="1:1" x14ac:dyDescent="0.3">
      <c r="A1190" s="1">
        <v>44654</v>
      </c>
    </row>
    <row r="1191" spans="1:1" x14ac:dyDescent="0.3">
      <c r="A1191" s="1">
        <v>44655</v>
      </c>
    </row>
    <row r="1192" spans="1:1" x14ac:dyDescent="0.3">
      <c r="A1192" s="1">
        <v>44656</v>
      </c>
    </row>
    <row r="1193" spans="1:1" x14ac:dyDescent="0.3">
      <c r="A1193" s="1">
        <v>44657</v>
      </c>
    </row>
    <row r="1194" spans="1:1" x14ac:dyDescent="0.3">
      <c r="A1194" s="1">
        <v>44658</v>
      </c>
    </row>
    <row r="1195" spans="1:1" x14ac:dyDescent="0.3">
      <c r="A1195" s="1">
        <v>44659</v>
      </c>
    </row>
    <row r="1196" spans="1:1" x14ac:dyDescent="0.3">
      <c r="A1196" s="1">
        <v>44660</v>
      </c>
    </row>
    <row r="1197" spans="1:1" x14ac:dyDescent="0.3">
      <c r="A1197" s="1">
        <v>44661</v>
      </c>
    </row>
    <row r="1198" spans="1:1" x14ac:dyDescent="0.3">
      <c r="A1198" s="1">
        <v>44662</v>
      </c>
    </row>
    <row r="1199" spans="1:1" x14ac:dyDescent="0.3">
      <c r="A1199" s="1">
        <v>44663</v>
      </c>
    </row>
    <row r="1200" spans="1:1" x14ac:dyDescent="0.3">
      <c r="A1200" s="1">
        <v>44664</v>
      </c>
    </row>
    <row r="1201" spans="1:1" x14ac:dyDescent="0.3">
      <c r="A1201" s="1">
        <v>44665</v>
      </c>
    </row>
    <row r="1202" spans="1:1" x14ac:dyDescent="0.3">
      <c r="A1202" s="1">
        <v>44666</v>
      </c>
    </row>
    <row r="1203" spans="1:1" x14ac:dyDescent="0.3">
      <c r="A1203" s="1">
        <v>44667</v>
      </c>
    </row>
    <row r="1204" spans="1:1" x14ac:dyDescent="0.3">
      <c r="A1204" s="1">
        <v>44668</v>
      </c>
    </row>
    <row r="1205" spans="1:1" x14ac:dyDescent="0.3">
      <c r="A1205" s="1">
        <v>44669</v>
      </c>
    </row>
    <row r="1206" spans="1:1" x14ac:dyDescent="0.3">
      <c r="A1206" s="1">
        <v>44670</v>
      </c>
    </row>
    <row r="1207" spans="1:1" x14ac:dyDescent="0.3">
      <c r="A1207" s="1">
        <v>44671</v>
      </c>
    </row>
    <row r="1208" spans="1:1" x14ac:dyDescent="0.3">
      <c r="A1208" s="1">
        <v>44672</v>
      </c>
    </row>
    <row r="1209" spans="1:1" x14ac:dyDescent="0.3">
      <c r="A1209" s="1">
        <v>44673</v>
      </c>
    </row>
    <row r="1210" spans="1:1" x14ac:dyDescent="0.3">
      <c r="A1210" s="1">
        <v>44674</v>
      </c>
    </row>
    <row r="1211" spans="1:1" x14ac:dyDescent="0.3">
      <c r="A1211" s="1">
        <v>44675</v>
      </c>
    </row>
    <row r="1212" spans="1:1" x14ac:dyDescent="0.3">
      <c r="A1212" s="1">
        <v>44676</v>
      </c>
    </row>
    <row r="1213" spans="1:1" x14ac:dyDescent="0.3">
      <c r="A1213" s="1">
        <v>44677</v>
      </c>
    </row>
    <row r="1214" spans="1:1" x14ac:dyDescent="0.3">
      <c r="A1214" s="1">
        <v>44678</v>
      </c>
    </row>
    <row r="1215" spans="1:1" x14ac:dyDescent="0.3">
      <c r="A1215" s="1">
        <v>44679</v>
      </c>
    </row>
    <row r="1216" spans="1:1" x14ac:dyDescent="0.3">
      <c r="A1216" s="1">
        <v>44680</v>
      </c>
    </row>
    <row r="1217" spans="1:1" x14ac:dyDescent="0.3">
      <c r="A1217" s="1">
        <v>44681</v>
      </c>
    </row>
    <row r="1218" spans="1:1" x14ac:dyDescent="0.3">
      <c r="A1218" s="1">
        <v>44682</v>
      </c>
    </row>
    <row r="1219" spans="1:1" x14ac:dyDescent="0.3">
      <c r="A1219" s="1">
        <v>44683</v>
      </c>
    </row>
    <row r="1220" spans="1:1" x14ac:dyDescent="0.3">
      <c r="A1220" s="1">
        <v>44684</v>
      </c>
    </row>
    <row r="1221" spans="1:1" x14ac:dyDescent="0.3">
      <c r="A1221" s="1">
        <v>44685</v>
      </c>
    </row>
    <row r="1222" spans="1:1" x14ac:dyDescent="0.3">
      <c r="A1222" s="1">
        <v>44686</v>
      </c>
    </row>
    <row r="1223" spans="1:1" x14ac:dyDescent="0.3">
      <c r="A1223" s="1">
        <v>44687</v>
      </c>
    </row>
    <row r="1224" spans="1:1" x14ac:dyDescent="0.3">
      <c r="A1224" s="1">
        <v>44688</v>
      </c>
    </row>
    <row r="1225" spans="1:1" x14ac:dyDescent="0.3">
      <c r="A1225" s="1">
        <v>44689</v>
      </c>
    </row>
    <row r="1226" spans="1:1" x14ac:dyDescent="0.3">
      <c r="A1226" s="1">
        <v>44690</v>
      </c>
    </row>
    <row r="1227" spans="1:1" x14ac:dyDescent="0.3">
      <c r="A1227" s="1">
        <v>44691</v>
      </c>
    </row>
    <row r="1228" spans="1:1" x14ac:dyDescent="0.3">
      <c r="A1228" s="1">
        <v>44692</v>
      </c>
    </row>
    <row r="1229" spans="1:1" x14ac:dyDescent="0.3">
      <c r="A1229" s="1">
        <v>44693</v>
      </c>
    </row>
    <row r="1230" spans="1:1" x14ac:dyDescent="0.3">
      <c r="A1230" s="1">
        <v>44694</v>
      </c>
    </row>
    <row r="1231" spans="1:1" x14ac:dyDescent="0.3">
      <c r="A1231" s="1">
        <v>44695</v>
      </c>
    </row>
    <row r="1232" spans="1:1" x14ac:dyDescent="0.3">
      <c r="A1232" s="1">
        <v>44696</v>
      </c>
    </row>
    <row r="1233" spans="1:1" x14ac:dyDescent="0.3">
      <c r="A1233" s="1">
        <v>44697</v>
      </c>
    </row>
    <row r="1234" spans="1:1" x14ac:dyDescent="0.3">
      <c r="A1234" s="1">
        <v>44698</v>
      </c>
    </row>
    <row r="1235" spans="1:1" x14ac:dyDescent="0.3">
      <c r="A1235" s="1">
        <v>44699</v>
      </c>
    </row>
    <row r="1236" spans="1:1" x14ac:dyDescent="0.3">
      <c r="A1236" s="1">
        <v>44700</v>
      </c>
    </row>
    <row r="1237" spans="1:1" x14ac:dyDescent="0.3">
      <c r="A1237" s="1">
        <v>44701</v>
      </c>
    </row>
    <row r="1238" spans="1:1" x14ac:dyDescent="0.3">
      <c r="A1238" s="1">
        <v>44702</v>
      </c>
    </row>
    <row r="1239" spans="1:1" x14ac:dyDescent="0.3">
      <c r="A1239" s="1">
        <v>44703</v>
      </c>
    </row>
    <row r="1240" spans="1:1" x14ac:dyDescent="0.3">
      <c r="A1240" s="1">
        <v>44704</v>
      </c>
    </row>
    <row r="1241" spans="1:1" x14ac:dyDescent="0.3">
      <c r="A1241" s="1">
        <v>44705</v>
      </c>
    </row>
    <row r="1242" spans="1:1" x14ac:dyDescent="0.3">
      <c r="A1242" s="1">
        <v>44706</v>
      </c>
    </row>
    <row r="1243" spans="1:1" x14ac:dyDescent="0.3">
      <c r="A1243" s="1">
        <v>44707</v>
      </c>
    </row>
    <row r="1244" spans="1:1" x14ac:dyDescent="0.3">
      <c r="A1244" s="1">
        <v>44708</v>
      </c>
    </row>
    <row r="1245" spans="1:1" x14ac:dyDescent="0.3">
      <c r="A1245" s="1">
        <v>44709</v>
      </c>
    </row>
    <row r="1246" spans="1:1" x14ac:dyDescent="0.3">
      <c r="A1246" s="1">
        <v>44710</v>
      </c>
    </row>
    <row r="1247" spans="1:1" x14ac:dyDescent="0.3">
      <c r="A1247" s="1">
        <v>44711</v>
      </c>
    </row>
    <row r="1248" spans="1:1" x14ac:dyDescent="0.3">
      <c r="A1248" s="1">
        <v>44712</v>
      </c>
    </row>
    <row r="1249" spans="1:1" x14ac:dyDescent="0.3">
      <c r="A1249" s="1">
        <v>44713</v>
      </c>
    </row>
    <row r="1250" spans="1:1" x14ac:dyDescent="0.3">
      <c r="A1250" s="1">
        <v>44714</v>
      </c>
    </row>
    <row r="1251" spans="1:1" x14ac:dyDescent="0.3">
      <c r="A1251" s="1">
        <v>44715</v>
      </c>
    </row>
    <row r="1252" spans="1:1" x14ac:dyDescent="0.3">
      <c r="A1252" s="1">
        <v>44716</v>
      </c>
    </row>
    <row r="1253" spans="1:1" x14ac:dyDescent="0.3">
      <c r="A1253" s="1">
        <v>44717</v>
      </c>
    </row>
    <row r="1254" spans="1:1" x14ac:dyDescent="0.3">
      <c r="A1254" s="1">
        <v>44718</v>
      </c>
    </row>
    <row r="1255" spans="1:1" x14ac:dyDescent="0.3">
      <c r="A1255" s="1">
        <v>44719</v>
      </c>
    </row>
    <row r="1256" spans="1:1" x14ac:dyDescent="0.3">
      <c r="A1256" s="1">
        <v>44720</v>
      </c>
    </row>
    <row r="1257" spans="1:1" x14ac:dyDescent="0.3">
      <c r="A1257" s="1">
        <v>44721</v>
      </c>
    </row>
    <row r="1258" spans="1:1" x14ac:dyDescent="0.3">
      <c r="A1258" s="1">
        <v>44722</v>
      </c>
    </row>
    <row r="1259" spans="1:1" x14ac:dyDescent="0.3">
      <c r="A1259" s="1">
        <v>44723</v>
      </c>
    </row>
    <row r="1260" spans="1:1" x14ac:dyDescent="0.3">
      <c r="A1260" s="1">
        <v>44724</v>
      </c>
    </row>
    <row r="1261" spans="1:1" x14ac:dyDescent="0.3">
      <c r="A1261" s="1">
        <v>44725</v>
      </c>
    </row>
    <row r="1262" spans="1:1" x14ac:dyDescent="0.3">
      <c r="A1262" s="1">
        <v>44726</v>
      </c>
    </row>
    <row r="1263" spans="1:1" x14ac:dyDescent="0.3">
      <c r="A1263" s="1">
        <v>44727</v>
      </c>
    </row>
    <row r="1264" spans="1:1" x14ac:dyDescent="0.3">
      <c r="A1264" s="1">
        <v>44728</v>
      </c>
    </row>
    <row r="1265" spans="1:1" x14ac:dyDescent="0.3">
      <c r="A1265" s="1">
        <v>44729</v>
      </c>
    </row>
    <row r="1266" spans="1:1" x14ac:dyDescent="0.3">
      <c r="A1266" s="1">
        <v>44730</v>
      </c>
    </row>
    <row r="1267" spans="1:1" x14ac:dyDescent="0.3">
      <c r="A1267" s="1">
        <v>44731</v>
      </c>
    </row>
    <row r="1268" spans="1:1" x14ac:dyDescent="0.3">
      <c r="A1268" s="1">
        <v>44732</v>
      </c>
    </row>
    <row r="1269" spans="1:1" x14ac:dyDescent="0.3">
      <c r="A1269" s="1">
        <v>44733</v>
      </c>
    </row>
    <row r="1270" spans="1:1" x14ac:dyDescent="0.3">
      <c r="A1270" s="1">
        <v>44734</v>
      </c>
    </row>
    <row r="1271" spans="1:1" x14ac:dyDescent="0.3">
      <c r="A1271" s="1">
        <v>44735</v>
      </c>
    </row>
    <row r="1272" spans="1:1" x14ac:dyDescent="0.3">
      <c r="A1272" s="1">
        <v>44736</v>
      </c>
    </row>
    <row r="1273" spans="1:1" x14ac:dyDescent="0.3">
      <c r="A1273" s="1">
        <v>44737</v>
      </c>
    </row>
    <row r="1274" spans="1:1" x14ac:dyDescent="0.3">
      <c r="A1274" s="1">
        <v>44738</v>
      </c>
    </row>
    <row r="1275" spans="1:1" x14ac:dyDescent="0.3">
      <c r="A1275" s="1">
        <v>44739</v>
      </c>
    </row>
    <row r="1276" spans="1:1" x14ac:dyDescent="0.3">
      <c r="A1276" s="1">
        <v>44740</v>
      </c>
    </row>
    <row r="1277" spans="1:1" x14ac:dyDescent="0.3">
      <c r="A1277" s="1">
        <v>44741</v>
      </c>
    </row>
    <row r="1278" spans="1:1" x14ac:dyDescent="0.3">
      <c r="A1278" s="1">
        <v>44742</v>
      </c>
    </row>
    <row r="1279" spans="1:1" x14ac:dyDescent="0.3">
      <c r="A1279" s="1">
        <v>44743</v>
      </c>
    </row>
    <row r="1280" spans="1:1" x14ac:dyDescent="0.3">
      <c r="A1280" s="1">
        <v>44744</v>
      </c>
    </row>
    <row r="1281" spans="1:1" x14ac:dyDescent="0.3">
      <c r="A1281" s="1">
        <v>44745</v>
      </c>
    </row>
    <row r="1282" spans="1:1" x14ac:dyDescent="0.3">
      <c r="A1282" s="1">
        <v>44746</v>
      </c>
    </row>
    <row r="1283" spans="1:1" x14ac:dyDescent="0.3">
      <c r="A1283" s="1">
        <v>44747</v>
      </c>
    </row>
    <row r="1284" spans="1:1" x14ac:dyDescent="0.3">
      <c r="A1284" s="1">
        <v>44748</v>
      </c>
    </row>
    <row r="1285" spans="1:1" x14ac:dyDescent="0.3">
      <c r="A1285" s="1">
        <v>44749</v>
      </c>
    </row>
    <row r="1286" spans="1:1" x14ac:dyDescent="0.3">
      <c r="A1286" s="1">
        <v>44750</v>
      </c>
    </row>
    <row r="1287" spans="1:1" x14ac:dyDescent="0.3">
      <c r="A1287" s="1">
        <v>44751</v>
      </c>
    </row>
    <row r="1288" spans="1:1" x14ac:dyDescent="0.3">
      <c r="A1288" s="1">
        <v>44752</v>
      </c>
    </row>
    <row r="1289" spans="1:1" x14ac:dyDescent="0.3">
      <c r="A1289" s="1">
        <v>44753</v>
      </c>
    </row>
    <row r="1290" spans="1:1" x14ac:dyDescent="0.3">
      <c r="A1290" s="1">
        <v>44754</v>
      </c>
    </row>
    <row r="1291" spans="1:1" x14ac:dyDescent="0.3">
      <c r="A1291" s="1">
        <v>44755</v>
      </c>
    </row>
    <row r="1292" spans="1:1" x14ac:dyDescent="0.3">
      <c r="A1292" s="1">
        <v>44756</v>
      </c>
    </row>
    <row r="1293" spans="1:1" x14ac:dyDescent="0.3">
      <c r="A1293" s="1">
        <v>44757</v>
      </c>
    </row>
    <row r="1294" spans="1:1" x14ac:dyDescent="0.3">
      <c r="A1294" s="1">
        <v>44758</v>
      </c>
    </row>
    <row r="1295" spans="1:1" x14ac:dyDescent="0.3">
      <c r="A1295" s="1">
        <v>44759</v>
      </c>
    </row>
    <row r="1296" spans="1:1" x14ac:dyDescent="0.3">
      <c r="A1296" s="1">
        <v>44760</v>
      </c>
    </row>
    <row r="1297" spans="1:1" x14ac:dyDescent="0.3">
      <c r="A1297" s="1">
        <v>44761</v>
      </c>
    </row>
    <row r="1298" spans="1:1" x14ac:dyDescent="0.3">
      <c r="A1298" s="1">
        <v>44762</v>
      </c>
    </row>
    <row r="1299" spans="1:1" x14ac:dyDescent="0.3">
      <c r="A1299" s="1">
        <v>44763</v>
      </c>
    </row>
    <row r="1300" spans="1:1" x14ac:dyDescent="0.3">
      <c r="A1300" s="1">
        <v>44764</v>
      </c>
    </row>
    <row r="1301" spans="1:1" x14ac:dyDescent="0.3">
      <c r="A1301" s="1">
        <v>44765</v>
      </c>
    </row>
    <row r="1302" spans="1:1" x14ac:dyDescent="0.3">
      <c r="A1302" s="1">
        <v>44766</v>
      </c>
    </row>
    <row r="1303" spans="1:1" x14ac:dyDescent="0.3">
      <c r="A1303" s="1">
        <v>44767</v>
      </c>
    </row>
    <row r="1304" spans="1:1" x14ac:dyDescent="0.3">
      <c r="A1304" s="1">
        <v>44768</v>
      </c>
    </row>
    <row r="1305" spans="1:1" x14ac:dyDescent="0.3">
      <c r="A1305" s="1">
        <v>44769</v>
      </c>
    </row>
    <row r="1306" spans="1:1" x14ac:dyDescent="0.3">
      <c r="A1306" s="1">
        <v>44770</v>
      </c>
    </row>
    <row r="1307" spans="1:1" x14ac:dyDescent="0.3">
      <c r="A1307" s="1">
        <v>44771</v>
      </c>
    </row>
    <row r="1308" spans="1:1" x14ac:dyDescent="0.3">
      <c r="A1308" s="1">
        <v>44772</v>
      </c>
    </row>
    <row r="1309" spans="1:1" x14ac:dyDescent="0.3">
      <c r="A1309" s="1">
        <v>44773</v>
      </c>
    </row>
    <row r="1310" spans="1:1" x14ac:dyDescent="0.3">
      <c r="A1310" s="1">
        <v>44774</v>
      </c>
    </row>
    <row r="1311" spans="1:1" x14ac:dyDescent="0.3">
      <c r="A1311" s="1">
        <v>44775</v>
      </c>
    </row>
    <row r="1312" spans="1:1" x14ac:dyDescent="0.3">
      <c r="A1312" s="1">
        <v>44776</v>
      </c>
    </row>
    <row r="1313" spans="1:1" x14ac:dyDescent="0.3">
      <c r="A1313" s="1">
        <v>44777</v>
      </c>
    </row>
    <row r="1314" spans="1:1" x14ac:dyDescent="0.3">
      <c r="A1314" s="1">
        <v>44778</v>
      </c>
    </row>
    <row r="1315" spans="1:1" x14ac:dyDescent="0.3">
      <c r="A1315" s="1">
        <v>44779</v>
      </c>
    </row>
    <row r="1316" spans="1:1" x14ac:dyDescent="0.3">
      <c r="A1316" s="1">
        <v>44780</v>
      </c>
    </row>
    <row r="1317" spans="1:1" x14ac:dyDescent="0.3">
      <c r="A1317" s="1">
        <v>44781</v>
      </c>
    </row>
    <row r="1318" spans="1:1" x14ac:dyDescent="0.3">
      <c r="A1318" s="1">
        <v>44782</v>
      </c>
    </row>
    <row r="1319" spans="1:1" x14ac:dyDescent="0.3">
      <c r="A1319" s="1">
        <v>44783</v>
      </c>
    </row>
    <row r="1320" spans="1:1" x14ac:dyDescent="0.3">
      <c r="A1320" s="1">
        <v>44784</v>
      </c>
    </row>
    <row r="1321" spans="1:1" x14ac:dyDescent="0.3">
      <c r="A1321" s="1">
        <v>44785</v>
      </c>
    </row>
    <row r="1322" spans="1:1" x14ac:dyDescent="0.3">
      <c r="A1322" s="1">
        <v>44786</v>
      </c>
    </row>
    <row r="1323" spans="1:1" x14ac:dyDescent="0.3">
      <c r="A1323" s="1">
        <v>44787</v>
      </c>
    </row>
    <row r="1324" spans="1:1" x14ac:dyDescent="0.3">
      <c r="A1324" s="1">
        <v>44788</v>
      </c>
    </row>
    <row r="1325" spans="1:1" x14ac:dyDescent="0.3">
      <c r="A1325" s="1">
        <v>44789</v>
      </c>
    </row>
    <row r="1326" spans="1:1" x14ac:dyDescent="0.3">
      <c r="A1326" s="1">
        <v>44790</v>
      </c>
    </row>
    <row r="1327" spans="1:1" x14ac:dyDescent="0.3">
      <c r="A1327" s="1">
        <v>44791</v>
      </c>
    </row>
    <row r="1328" spans="1:1" x14ac:dyDescent="0.3">
      <c r="A1328" s="1">
        <v>44792</v>
      </c>
    </row>
    <row r="1329" spans="1:1" x14ac:dyDescent="0.3">
      <c r="A1329" s="1">
        <v>44793</v>
      </c>
    </row>
    <row r="1330" spans="1:1" x14ac:dyDescent="0.3">
      <c r="A1330" s="1">
        <v>44794</v>
      </c>
    </row>
    <row r="1331" spans="1:1" x14ac:dyDescent="0.3">
      <c r="A1331" s="1">
        <v>44795</v>
      </c>
    </row>
    <row r="1332" spans="1:1" x14ac:dyDescent="0.3">
      <c r="A1332" s="1">
        <v>44796</v>
      </c>
    </row>
    <row r="1333" spans="1:1" x14ac:dyDescent="0.3">
      <c r="A1333" s="1">
        <v>44797</v>
      </c>
    </row>
    <row r="1334" spans="1:1" x14ac:dyDescent="0.3">
      <c r="A1334" s="1">
        <v>44798</v>
      </c>
    </row>
    <row r="1335" spans="1:1" x14ac:dyDescent="0.3">
      <c r="A1335" s="1">
        <v>44799</v>
      </c>
    </row>
    <row r="1336" spans="1:1" x14ac:dyDescent="0.3">
      <c r="A1336" s="1">
        <v>44800</v>
      </c>
    </row>
    <row r="1337" spans="1:1" x14ac:dyDescent="0.3">
      <c r="A1337" s="1">
        <v>44801</v>
      </c>
    </row>
    <row r="1338" spans="1:1" x14ac:dyDescent="0.3">
      <c r="A1338" s="1">
        <v>44802</v>
      </c>
    </row>
    <row r="1339" spans="1:1" x14ac:dyDescent="0.3">
      <c r="A1339" s="1">
        <v>44803</v>
      </c>
    </row>
    <row r="1340" spans="1:1" x14ac:dyDescent="0.3">
      <c r="A1340" s="1">
        <v>44804</v>
      </c>
    </row>
    <row r="1341" spans="1:1" x14ac:dyDescent="0.3">
      <c r="A1341" s="1">
        <v>44805</v>
      </c>
    </row>
    <row r="1342" spans="1:1" x14ac:dyDescent="0.3">
      <c r="A1342" s="1">
        <v>44806</v>
      </c>
    </row>
    <row r="1343" spans="1:1" x14ac:dyDescent="0.3">
      <c r="A1343" s="1">
        <v>44807</v>
      </c>
    </row>
    <row r="1344" spans="1:1" x14ac:dyDescent="0.3">
      <c r="A1344" s="1">
        <v>44808</v>
      </c>
    </row>
    <row r="1345" spans="1:1" x14ac:dyDescent="0.3">
      <c r="A1345" s="1">
        <v>44809</v>
      </c>
    </row>
    <row r="1346" spans="1:1" x14ac:dyDescent="0.3">
      <c r="A1346" s="1">
        <v>44810</v>
      </c>
    </row>
    <row r="1347" spans="1:1" x14ac:dyDescent="0.3">
      <c r="A1347" s="1">
        <v>44811</v>
      </c>
    </row>
    <row r="1348" spans="1:1" x14ac:dyDescent="0.3">
      <c r="A1348" s="1">
        <v>44812</v>
      </c>
    </row>
    <row r="1349" spans="1:1" x14ac:dyDescent="0.3">
      <c r="A1349" s="1">
        <v>44813</v>
      </c>
    </row>
    <row r="1350" spans="1:1" x14ac:dyDescent="0.3">
      <c r="A1350" s="1">
        <v>44814</v>
      </c>
    </row>
    <row r="1351" spans="1:1" x14ac:dyDescent="0.3">
      <c r="A1351" s="1">
        <v>44815</v>
      </c>
    </row>
    <row r="1352" spans="1:1" x14ac:dyDescent="0.3">
      <c r="A1352" s="1">
        <v>44816</v>
      </c>
    </row>
    <row r="1353" spans="1:1" x14ac:dyDescent="0.3">
      <c r="A1353" s="1">
        <v>44817</v>
      </c>
    </row>
    <row r="1354" spans="1:1" x14ac:dyDescent="0.3">
      <c r="A1354" s="1">
        <v>44818</v>
      </c>
    </row>
    <row r="1355" spans="1:1" x14ac:dyDescent="0.3">
      <c r="A1355" s="1">
        <v>44819</v>
      </c>
    </row>
    <row r="1356" spans="1:1" x14ac:dyDescent="0.3">
      <c r="A1356" s="1">
        <v>44820</v>
      </c>
    </row>
    <row r="1357" spans="1:1" x14ac:dyDescent="0.3">
      <c r="A1357" s="1">
        <v>44821</v>
      </c>
    </row>
    <row r="1358" spans="1:1" x14ac:dyDescent="0.3">
      <c r="A1358" s="1">
        <v>44822</v>
      </c>
    </row>
    <row r="1359" spans="1:1" x14ac:dyDescent="0.3">
      <c r="A1359" s="1">
        <v>44823</v>
      </c>
    </row>
    <row r="1360" spans="1:1" x14ac:dyDescent="0.3">
      <c r="A1360" s="1">
        <v>44824</v>
      </c>
    </row>
    <row r="1361" spans="1:1" x14ac:dyDescent="0.3">
      <c r="A1361" s="1">
        <v>44825</v>
      </c>
    </row>
    <row r="1362" spans="1:1" x14ac:dyDescent="0.3">
      <c r="A1362" s="1">
        <v>44826</v>
      </c>
    </row>
    <row r="1363" spans="1:1" x14ac:dyDescent="0.3">
      <c r="A1363" s="1">
        <v>44827</v>
      </c>
    </row>
    <row r="1364" spans="1:1" x14ac:dyDescent="0.3">
      <c r="A1364" s="1">
        <v>44828</v>
      </c>
    </row>
    <row r="1365" spans="1:1" x14ac:dyDescent="0.3">
      <c r="A1365" s="1">
        <v>44829</v>
      </c>
    </row>
    <row r="1366" spans="1:1" x14ac:dyDescent="0.3">
      <c r="A1366" s="1">
        <v>44830</v>
      </c>
    </row>
    <row r="1367" spans="1:1" x14ac:dyDescent="0.3">
      <c r="A1367" s="1">
        <v>44831</v>
      </c>
    </row>
    <row r="1368" spans="1:1" x14ac:dyDescent="0.3">
      <c r="A1368" s="1">
        <v>44832</v>
      </c>
    </row>
    <row r="1369" spans="1:1" x14ac:dyDescent="0.3">
      <c r="A1369" s="1">
        <v>44833</v>
      </c>
    </row>
    <row r="1370" spans="1:1" x14ac:dyDescent="0.3">
      <c r="A1370" s="1">
        <v>44834</v>
      </c>
    </row>
    <row r="1371" spans="1:1" x14ac:dyDescent="0.3">
      <c r="A1371" s="1">
        <v>44835</v>
      </c>
    </row>
    <row r="1372" spans="1:1" x14ac:dyDescent="0.3">
      <c r="A1372" s="1">
        <v>44836</v>
      </c>
    </row>
    <row r="1373" spans="1:1" x14ac:dyDescent="0.3">
      <c r="A1373" s="1">
        <v>44837</v>
      </c>
    </row>
    <row r="1374" spans="1:1" x14ac:dyDescent="0.3">
      <c r="A1374" s="1">
        <v>44838</v>
      </c>
    </row>
    <row r="1375" spans="1:1" x14ac:dyDescent="0.3">
      <c r="A1375" s="1">
        <v>44839</v>
      </c>
    </row>
    <row r="1376" spans="1:1" x14ac:dyDescent="0.3">
      <c r="A1376" s="1">
        <v>44840</v>
      </c>
    </row>
    <row r="1377" spans="1:1" x14ac:dyDescent="0.3">
      <c r="A1377" s="1">
        <v>44841</v>
      </c>
    </row>
    <row r="1378" spans="1:1" x14ac:dyDescent="0.3">
      <c r="A1378" s="1">
        <v>44842</v>
      </c>
    </row>
    <row r="1379" spans="1:1" x14ac:dyDescent="0.3">
      <c r="A1379" s="1">
        <v>44843</v>
      </c>
    </row>
    <row r="1380" spans="1:1" x14ac:dyDescent="0.3">
      <c r="A1380" s="1">
        <v>44844</v>
      </c>
    </row>
    <row r="1381" spans="1:1" x14ac:dyDescent="0.3">
      <c r="A1381" s="1">
        <v>44845</v>
      </c>
    </row>
    <row r="1382" spans="1:1" x14ac:dyDescent="0.3">
      <c r="A1382" s="1">
        <v>44846</v>
      </c>
    </row>
    <row r="1383" spans="1:1" x14ac:dyDescent="0.3">
      <c r="A1383" s="1">
        <v>44847</v>
      </c>
    </row>
    <row r="1384" spans="1:1" x14ac:dyDescent="0.3">
      <c r="A1384" s="1">
        <v>44848</v>
      </c>
    </row>
    <row r="1385" spans="1:1" x14ac:dyDescent="0.3">
      <c r="A1385" s="1">
        <v>44849</v>
      </c>
    </row>
    <row r="1386" spans="1:1" x14ac:dyDescent="0.3">
      <c r="A1386" s="1">
        <v>44850</v>
      </c>
    </row>
    <row r="1387" spans="1:1" x14ac:dyDescent="0.3">
      <c r="A1387" s="1">
        <v>44851</v>
      </c>
    </row>
    <row r="1388" spans="1:1" x14ac:dyDescent="0.3">
      <c r="A1388" s="1">
        <v>44852</v>
      </c>
    </row>
    <row r="1389" spans="1:1" x14ac:dyDescent="0.3">
      <c r="A1389" s="1">
        <v>44853</v>
      </c>
    </row>
    <row r="1390" spans="1:1" x14ac:dyDescent="0.3">
      <c r="A1390" s="1">
        <v>44854</v>
      </c>
    </row>
    <row r="1391" spans="1:1" x14ac:dyDescent="0.3">
      <c r="A1391" s="1">
        <v>44855</v>
      </c>
    </row>
    <row r="1392" spans="1:1" x14ac:dyDescent="0.3">
      <c r="A1392" s="1">
        <v>44856</v>
      </c>
    </row>
    <row r="1393" spans="1:1" x14ac:dyDescent="0.3">
      <c r="A1393" s="1">
        <v>44857</v>
      </c>
    </row>
    <row r="1394" spans="1:1" x14ac:dyDescent="0.3">
      <c r="A1394" s="1">
        <v>44858</v>
      </c>
    </row>
    <row r="1395" spans="1:1" x14ac:dyDescent="0.3">
      <c r="A1395" s="1">
        <v>44859</v>
      </c>
    </row>
    <row r="1396" spans="1:1" x14ac:dyDescent="0.3">
      <c r="A1396" s="1">
        <v>44860</v>
      </c>
    </row>
    <row r="1397" spans="1:1" x14ac:dyDescent="0.3">
      <c r="A1397" s="1">
        <v>44861</v>
      </c>
    </row>
    <row r="1398" spans="1:1" x14ac:dyDescent="0.3">
      <c r="A1398" s="1">
        <v>44862</v>
      </c>
    </row>
    <row r="1399" spans="1:1" x14ac:dyDescent="0.3">
      <c r="A1399" s="1">
        <v>44863</v>
      </c>
    </row>
    <row r="1400" spans="1:1" x14ac:dyDescent="0.3">
      <c r="A1400" s="1">
        <v>44864</v>
      </c>
    </row>
    <row r="1401" spans="1:1" x14ac:dyDescent="0.3">
      <c r="A1401" s="1">
        <v>44865</v>
      </c>
    </row>
    <row r="1402" spans="1:1" x14ac:dyDescent="0.3">
      <c r="A1402" s="1">
        <v>44866</v>
      </c>
    </row>
    <row r="1403" spans="1:1" x14ac:dyDescent="0.3">
      <c r="A1403" s="1">
        <v>44867</v>
      </c>
    </row>
    <row r="1404" spans="1:1" x14ac:dyDescent="0.3">
      <c r="A1404" s="1">
        <v>44868</v>
      </c>
    </row>
    <row r="1405" spans="1:1" x14ac:dyDescent="0.3">
      <c r="A1405" s="1">
        <v>44869</v>
      </c>
    </row>
    <row r="1406" spans="1:1" x14ac:dyDescent="0.3">
      <c r="A1406" s="1">
        <v>44870</v>
      </c>
    </row>
    <row r="1407" spans="1:1" x14ac:dyDescent="0.3">
      <c r="A1407" s="1">
        <v>44871</v>
      </c>
    </row>
    <row r="1408" spans="1:1" x14ac:dyDescent="0.3">
      <c r="A1408" s="1">
        <v>44872</v>
      </c>
    </row>
    <row r="1409" spans="1:1" x14ac:dyDescent="0.3">
      <c r="A1409" s="1">
        <v>44873</v>
      </c>
    </row>
    <row r="1410" spans="1:1" x14ac:dyDescent="0.3">
      <c r="A1410" s="1">
        <v>44874</v>
      </c>
    </row>
    <row r="1411" spans="1:1" x14ac:dyDescent="0.3">
      <c r="A1411" s="1">
        <v>44875</v>
      </c>
    </row>
    <row r="1412" spans="1:1" x14ac:dyDescent="0.3">
      <c r="A1412" s="1">
        <v>44876</v>
      </c>
    </row>
    <row r="1413" spans="1:1" x14ac:dyDescent="0.3">
      <c r="A1413" s="1">
        <v>44877</v>
      </c>
    </row>
    <row r="1414" spans="1:1" x14ac:dyDescent="0.3">
      <c r="A1414" s="1">
        <v>44878</v>
      </c>
    </row>
    <row r="1415" spans="1:1" x14ac:dyDescent="0.3">
      <c r="A1415" s="1">
        <v>44879</v>
      </c>
    </row>
    <row r="1416" spans="1:1" x14ac:dyDescent="0.3">
      <c r="A1416" s="1">
        <v>44880</v>
      </c>
    </row>
    <row r="1417" spans="1:1" x14ac:dyDescent="0.3">
      <c r="A1417" s="1">
        <v>44881</v>
      </c>
    </row>
    <row r="1418" spans="1:1" x14ac:dyDescent="0.3">
      <c r="A1418" s="1">
        <v>44882</v>
      </c>
    </row>
    <row r="1419" spans="1:1" x14ac:dyDescent="0.3">
      <c r="A1419" s="1">
        <v>44883</v>
      </c>
    </row>
    <row r="1420" spans="1:1" x14ac:dyDescent="0.3">
      <c r="A1420" s="1">
        <v>44884</v>
      </c>
    </row>
    <row r="1421" spans="1:1" x14ac:dyDescent="0.3">
      <c r="A1421" s="1">
        <v>44885</v>
      </c>
    </row>
    <row r="1422" spans="1:1" x14ac:dyDescent="0.3">
      <c r="A1422" s="1">
        <v>44886</v>
      </c>
    </row>
    <row r="1423" spans="1:1" x14ac:dyDescent="0.3">
      <c r="A1423" s="1">
        <v>44887</v>
      </c>
    </row>
    <row r="1424" spans="1:1" x14ac:dyDescent="0.3">
      <c r="A1424" s="1">
        <v>44888</v>
      </c>
    </row>
    <row r="1425" spans="1:1" x14ac:dyDescent="0.3">
      <c r="A1425" s="1">
        <v>44889</v>
      </c>
    </row>
    <row r="1426" spans="1:1" x14ac:dyDescent="0.3">
      <c r="A1426" s="1">
        <v>44890</v>
      </c>
    </row>
    <row r="1427" spans="1:1" x14ac:dyDescent="0.3">
      <c r="A1427" s="1">
        <v>44891</v>
      </c>
    </row>
    <row r="1428" spans="1:1" x14ac:dyDescent="0.3">
      <c r="A1428" s="1">
        <v>44892</v>
      </c>
    </row>
    <row r="1429" spans="1:1" x14ac:dyDescent="0.3">
      <c r="A1429" s="1">
        <v>44893</v>
      </c>
    </row>
    <row r="1430" spans="1:1" x14ac:dyDescent="0.3">
      <c r="A1430" s="1">
        <v>44894</v>
      </c>
    </row>
    <row r="1431" spans="1:1" x14ac:dyDescent="0.3">
      <c r="A1431" s="1">
        <v>44895</v>
      </c>
    </row>
    <row r="1432" spans="1:1" x14ac:dyDescent="0.3">
      <c r="A1432" s="1">
        <v>44896</v>
      </c>
    </row>
    <row r="1433" spans="1:1" x14ac:dyDescent="0.3">
      <c r="A1433" s="1">
        <v>44897</v>
      </c>
    </row>
    <row r="1434" spans="1:1" x14ac:dyDescent="0.3">
      <c r="A1434" s="1">
        <v>44898</v>
      </c>
    </row>
    <row r="1435" spans="1:1" x14ac:dyDescent="0.3">
      <c r="A1435" s="1">
        <v>44899</v>
      </c>
    </row>
    <row r="1436" spans="1:1" x14ac:dyDescent="0.3">
      <c r="A1436" s="1">
        <v>44900</v>
      </c>
    </row>
    <row r="1437" spans="1:1" x14ac:dyDescent="0.3">
      <c r="A1437" s="1">
        <v>44901</v>
      </c>
    </row>
    <row r="1438" spans="1:1" x14ac:dyDescent="0.3">
      <c r="A1438" s="1">
        <v>44902</v>
      </c>
    </row>
    <row r="1439" spans="1:1" x14ac:dyDescent="0.3">
      <c r="A1439" s="1">
        <v>44903</v>
      </c>
    </row>
    <row r="1440" spans="1:1" x14ac:dyDescent="0.3">
      <c r="A1440" s="1">
        <v>44904</v>
      </c>
    </row>
    <row r="1441" spans="1:1" x14ac:dyDescent="0.3">
      <c r="A1441" s="1">
        <v>44905</v>
      </c>
    </row>
    <row r="1442" spans="1:1" x14ac:dyDescent="0.3">
      <c r="A1442" s="1">
        <v>44906</v>
      </c>
    </row>
    <row r="1443" spans="1:1" x14ac:dyDescent="0.3">
      <c r="A1443" s="1">
        <v>44907</v>
      </c>
    </row>
    <row r="1444" spans="1:1" x14ac:dyDescent="0.3">
      <c r="A1444" s="1">
        <v>44908</v>
      </c>
    </row>
    <row r="1445" spans="1:1" x14ac:dyDescent="0.3">
      <c r="A1445" s="1">
        <v>44909</v>
      </c>
    </row>
    <row r="1446" spans="1:1" x14ac:dyDescent="0.3">
      <c r="A1446" s="1">
        <v>44910</v>
      </c>
    </row>
    <row r="1447" spans="1:1" x14ac:dyDescent="0.3">
      <c r="A1447" s="1">
        <v>44911</v>
      </c>
    </row>
    <row r="1448" spans="1:1" x14ac:dyDescent="0.3">
      <c r="A1448" s="1">
        <v>44912</v>
      </c>
    </row>
    <row r="1449" spans="1:1" x14ac:dyDescent="0.3">
      <c r="A1449" s="1">
        <v>44913</v>
      </c>
    </row>
    <row r="1450" spans="1:1" x14ac:dyDescent="0.3">
      <c r="A1450" s="1">
        <v>44914</v>
      </c>
    </row>
    <row r="1451" spans="1:1" x14ac:dyDescent="0.3">
      <c r="A1451" s="1">
        <v>44915</v>
      </c>
    </row>
    <row r="1452" spans="1:1" x14ac:dyDescent="0.3">
      <c r="A1452" s="1">
        <v>44916</v>
      </c>
    </row>
    <row r="1453" spans="1:1" x14ac:dyDescent="0.3">
      <c r="A1453" s="1">
        <v>44917</v>
      </c>
    </row>
    <row r="1454" spans="1:1" x14ac:dyDescent="0.3">
      <c r="A1454" s="1">
        <v>44918</v>
      </c>
    </row>
    <row r="1455" spans="1:1" x14ac:dyDescent="0.3">
      <c r="A1455" s="1">
        <v>44919</v>
      </c>
    </row>
    <row r="1456" spans="1:1" x14ac:dyDescent="0.3">
      <c r="A1456" s="1">
        <v>44920</v>
      </c>
    </row>
    <row r="1457" spans="1:1" x14ac:dyDescent="0.3">
      <c r="A1457" s="1">
        <v>44921</v>
      </c>
    </row>
    <row r="1458" spans="1:1" x14ac:dyDescent="0.3">
      <c r="A1458" s="1">
        <v>44922</v>
      </c>
    </row>
    <row r="1459" spans="1:1" x14ac:dyDescent="0.3">
      <c r="A1459" s="1">
        <v>44923</v>
      </c>
    </row>
    <row r="1460" spans="1:1" x14ac:dyDescent="0.3">
      <c r="A1460" s="1">
        <v>44924</v>
      </c>
    </row>
    <row r="1461" spans="1:1" x14ac:dyDescent="0.3">
      <c r="A1461" s="1">
        <v>44925</v>
      </c>
    </row>
    <row r="1462" spans="1:1" x14ac:dyDescent="0.3">
      <c r="A1462" s="1">
        <v>44926</v>
      </c>
    </row>
    <row r="1463" spans="1:1" x14ac:dyDescent="0.3">
      <c r="A1463" s="1">
        <v>44927</v>
      </c>
    </row>
    <row r="1464" spans="1:1" x14ac:dyDescent="0.3">
      <c r="A1464" s="1">
        <v>44928</v>
      </c>
    </row>
    <row r="1465" spans="1:1" x14ac:dyDescent="0.3">
      <c r="A1465" s="1">
        <v>44929</v>
      </c>
    </row>
    <row r="1466" spans="1:1" x14ac:dyDescent="0.3">
      <c r="A1466" s="1">
        <v>44930</v>
      </c>
    </row>
    <row r="1467" spans="1:1" x14ac:dyDescent="0.3">
      <c r="A1467" s="1">
        <v>44931</v>
      </c>
    </row>
    <row r="1468" spans="1:1" x14ac:dyDescent="0.3">
      <c r="A1468" s="1">
        <v>44932</v>
      </c>
    </row>
    <row r="1469" spans="1:1" x14ac:dyDescent="0.3">
      <c r="A1469" s="1">
        <v>44933</v>
      </c>
    </row>
    <row r="1470" spans="1:1" x14ac:dyDescent="0.3">
      <c r="A1470" s="1">
        <v>44934</v>
      </c>
    </row>
    <row r="1471" spans="1:1" x14ac:dyDescent="0.3">
      <c r="A1471" s="1">
        <v>44935</v>
      </c>
    </row>
    <row r="1472" spans="1:1" x14ac:dyDescent="0.3">
      <c r="A1472" s="1">
        <v>44936</v>
      </c>
    </row>
    <row r="1473" spans="1:1" x14ac:dyDescent="0.3">
      <c r="A1473" s="1">
        <v>44937</v>
      </c>
    </row>
    <row r="1474" spans="1:1" x14ac:dyDescent="0.3">
      <c r="A1474" s="1">
        <v>44938</v>
      </c>
    </row>
    <row r="1475" spans="1:1" x14ac:dyDescent="0.3">
      <c r="A1475" s="1">
        <v>44939</v>
      </c>
    </row>
    <row r="1476" spans="1:1" x14ac:dyDescent="0.3">
      <c r="A1476" s="1">
        <v>44940</v>
      </c>
    </row>
    <row r="1477" spans="1:1" x14ac:dyDescent="0.3">
      <c r="A1477" s="1">
        <v>44941</v>
      </c>
    </row>
    <row r="1478" spans="1:1" x14ac:dyDescent="0.3">
      <c r="A1478" s="1">
        <v>44942</v>
      </c>
    </row>
    <row r="1479" spans="1:1" x14ac:dyDescent="0.3">
      <c r="A1479" s="1">
        <v>44943</v>
      </c>
    </row>
    <row r="1480" spans="1:1" x14ac:dyDescent="0.3">
      <c r="A1480" s="1">
        <v>44944</v>
      </c>
    </row>
    <row r="1481" spans="1:1" x14ac:dyDescent="0.3">
      <c r="A1481" s="1">
        <v>44945</v>
      </c>
    </row>
    <row r="1482" spans="1:1" x14ac:dyDescent="0.3">
      <c r="A1482" s="1">
        <v>44946</v>
      </c>
    </row>
    <row r="1483" spans="1:1" x14ac:dyDescent="0.3">
      <c r="A1483" s="1">
        <v>44947</v>
      </c>
    </row>
    <row r="1484" spans="1:1" x14ac:dyDescent="0.3">
      <c r="A1484" s="1">
        <v>44948</v>
      </c>
    </row>
    <row r="1485" spans="1:1" x14ac:dyDescent="0.3">
      <c r="A1485" s="1">
        <v>44949</v>
      </c>
    </row>
    <row r="1486" spans="1:1" x14ac:dyDescent="0.3">
      <c r="A1486" s="1">
        <v>44950</v>
      </c>
    </row>
    <row r="1487" spans="1:1" x14ac:dyDescent="0.3">
      <c r="A1487" s="1">
        <v>44951</v>
      </c>
    </row>
    <row r="1488" spans="1:1" x14ac:dyDescent="0.3">
      <c r="A1488" s="1">
        <v>44952</v>
      </c>
    </row>
    <row r="1489" spans="1:1" x14ac:dyDescent="0.3">
      <c r="A1489" s="1">
        <v>44953</v>
      </c>
    </row>
    <row r="1490" spans="1:1" x14ac:dyDescent="0.3">
      <c r="A1490" s="1">
        <v>44954</v>
      </c>
    </row>
    <row r="1491" spans="1:1" x14ac:dyDescent="0.3">
      <c r="A1491" s="1">
        <v>44955</v>
      </c>
    </row>
    <row r="1492" spans="1:1" x14ac:dyDescent="0.3">
      <c r="A1492" s="1">
        <v>44956</v>
      </c>
    </row>
    <row r="1493" spans="1:1" x14ac:dyDescent="0.3">
      <c r="A1493" s="1">
        <v>44957</v>
      </c>
    </row>
    <row r="1494" spans="1:1" x14ac:dyDescent="0.3">
      <c r="A1494" s="1">
        <v>44958</v>
      </c>
    </row>
    <row r="1495" spans="1:1" x14ac:dyDescent="0.3">
      <c r="A1495" s="1">
        <v>44959</v>
      </c>
    </row>
    <row r="1496" spans="1:1" x14ac:dyDescent="0.3">
      <c r="A1496" s="1">
        <v>44960</v>
      </c>
    </row>
    <row r="1497" spans="1:1" x14ac:dyDescent="0.3">
      <c r="A1497" s="1">
        <v>44961</v>
      </c>
    </row>
    <row r="1498" spans="1:1" x14ac:dyDescent="0.3">
      <c r="A1498" s="1">
        <v>44962</v>
      </c>
    </row>
    <row r="1499" spans="1:1" x14ac:dyDescent="0.3">
      <c r="A1499" s="1">
        <v>44963</v>
      </c>
    </row>
    <row r="1500" spans="1:1" x14ac:dyDescent="0.3">
      <c r="A1500" s="1">
        <v>44964</v>
      </c>
    </row>
    <row r="1501" spans="1:1" x14ac:dyDescent="0.3">
      <c r="A1501" s="1">
        <v>44965</v>
      </c>
    </row>
    <row r="1502" spans="1:1" x14ac:dyDescent="0.3">
      <c r="A1502" s="1">
        <v>44966</v>
      </c>
    </row>
    <row r="1503" spans="1:1" x14ac:dyDescent="0.3">
      <c r="A1503" s="1">
        <v>44967</v>
      </c>
    </row>
    <row r="1504" spans="1:1" x14ac:dyDescent="0.3">
      <c r="A1504" s="1">
        <v>44968</v>
      </c>
    </row>
    <row r="1505" spans="1:1" x14ac:dyDescent="0.3">
      <c r="A1505" s="1">
        <v>44969</v>
      </c>
    </row>
    <row r="1506" spans="1:1" x14ac:dyDescent="0.3">
      <c r="A1506" s="1">
        <v>44970</v>
      </c>
    </row>
    <row r="1507" spans="1:1" x14ac:dyDescent="0.3">
      <c r="A1507" s="1">
        <v>44971</v>
      </c>
    </row>
    <row r="1508" spans="1:1" x14ac:dyDescent="0.3">
      <c r="A1508" s="1">
        <v>44972</v>
      </c>
    </row>
    <row r="1509" spans="1:1" x14ac:dyDescent="0.3">
      <c r="A1509" s="1">
        <v>44973</v>
      </c>
    </row>
    <row r="1510" spans="1:1" x14ac:dyDescent="0.3">
      <c r="A1510" s="1">
        <v>44974</v>
      </c>
    </row>
    <row r="1511" spans="1:1" x14ac:dyDescent="0.3">
      <c r="A1511" s="1">
        <v>44975</v>
      </c>
    </row>
    <row r="1512" spans="1:1" x14ac:dyDescent="0.3">
      <c r="A1512" s="1">
        <v>44976</v>
      </c>
    </row>
    <row r="1513" spans="1:1" x14ac:dyDescent="0.3">
      <c r="A1513" s="1">
        <v>44977</v>
      </c>
    </row>
    <row r="1514" spans="1:1" x14ac:dyDescent="0.3">
      <c r="A1514" s="1">
        <v>44978</v>
      </c>
    </row>
    <row r="1515" spans="1:1" x14ac:dyDescent="0.3">
      <c r="A1515" s="1">
        <v>44979</v>
      </c>
    </row>
    <row r="1516" spans="1:1" x14ac:dyDescent="0.3">
      <c r="A1516" s="1">
        <v>44980</v>
      </c>
    </row>
    <row r="1517" spans="1:1" x14ac:dyDescent="0.3">
      <c r="A1517" s="1">
        <v>44981</v>
      </c>
    </row>
    <row r="1518" spans="1:1" x14ac:dyDescent="0.3">
      <c r="A1518" s="1">
        <v>44982</v>
      </c>
    </row>
    <row r="1519" spans="1:1" x14ac:dyDescent="0.3">
      <c r="A1519" s="1">
        <v>44983</v>
      </c>
    </row>
    <row r="1520" spans="1:1" x14ac:dyDescent="0.3">
      <c r="A1520" s="1">
        <v>44984</v>
      </c>
    </row>
    <row r="1521" spans="1:1" x14ac:dyDescent="0.3">
      <c r="A1521" s="1">
        <v>44985</v>
      </c>
    </row>
    <row r="1522" spans="1:1" x14ac:dyDescent="0.3">
      <c r="A1522" s="1">
        <v>44986</v>
      </c>
    </row>
    <row r="1523" spans="1:1" x14ac:dyDescent="0.3">
      <c r="A1523" s="1">
        <v>44987</v>
      </c>
    </row>
    <row r="1524" spans="1:1" x14ac:dyDescent="0.3">
      <c r="A1524" s="1">
        <v>44988</v>
      </c>
    </row>
    <row r="1525" spans="1:1" x14ac:dyDescent="0.3">
      <c r="A1525" s="1">
        <v>44989</v>
      </c>
    </row>
    <row r="1526" spans="1:1" x14ac:dyDescent="0.3">
      <c r="A1526" s="1">
        <v>44990</v>
      </c>
    </row>
    <row r="1527" spans="1:1" x14ac:dyDescent="0.3">
      <c r="A1527" s="1">
        <v>44991</v>
      </c>
    </row>
    <row r="1528" spans="1:1" x14ac:dyDescent="0.3">
      <c r="A1528" s="1">
        <v>44992</v>
      </c>
    </row>
    <row r="1529" spans="1:1" x14ac:dyDescent="0.3">
      <c r="A1529" s="1">
        <v>44993</v>
      </c>
    </row>
    <row r="1530" spans="1:1" x14ac:dyDescent="0.3">
      <c r="A1530" s="1">
        <v>44994</v>
      </c>
    </row>
    <row r="1531" spans="1:1" x14ac:dyDescent="0.3">
      <c r="A1531" s="1">
        <v>44995</v>
      </c>
    </row>
    <row r="1532" spans="1:1" x14ac:dyDescent="0.3">
      <c r="A1532" s="1">
        <v>44996</v>
      </c>
    </row>
    <row r="1533" spans="1:1" x14ac:dyDescent="0.3">
      <c r="A1533" s="1">
        <v>44997</v>
      </c>
    </row>
    <row r="1534" spans="1:1" x14ac:dyDescent="0.3">
      <c r="A1534" s="1">
        <v>44998</v>
      </c>
    </row>
    <row r="1535" spans="1:1" x14ac:dyDescent="0.3">
      <c r="A1535" s="1">
        <v>44999</v>
      </c>
    </row>
    <row r="1536" spans="1:1" x14ac:dyDescent="0.3">
      <c r="A1536" s="1">
        <v>45000</v>
      </c>
    </row>
    <row r="1537" spans="1:1" x14ac:dyDescent="0.3">
      <c r="A1537" s="1">
        <v>45001</v>
      </c>
    </row>
    <row r="1538" spans="1:1" x14ac:dyDescent="0.3">
      <c r="A1538" s="1">
        <v>45002</v>
      </c>
    </row>
    <row r="1539" spans="1:1" x14ac:dyDescent="0.3">
      <c r="A1539" s="1">
        <v>45003</v>
      </c>
    </row>
    <row r="1540" spans="1:1" x14ac:dyDescent="0.3">
      <c r="A1540" s="1">
        <v>45004</v>
      </c>
    </row>
    <row r="1541" spans="1:1" x14ac:dyDescent="0.3">
      <c r="A1541" s="1">
        <v>45005</v>
      </c>
    </row>
    <row r="1542" spans="1:1" x14ac:dyDescent="0.3">
      <c r="A1542" s="1">
        <v>45006</v>
      </c>
    </row>
    <row r="1543" spans="1:1" x14ac:dyDescent="0.3">
      <c r="A1543" s="1">
        <v>45007</v>
      </c>
    </row>
    <row r="1544" spans="1:1" x14ac:dyDescent="0.3">
      <c r="A1544" s="1">
        <v>45008</v>
      </c>
    </row>
    <row r="1545" spans="1:1" x14ac:dyDescent="0.3">
      <c r="A1545" s="1">
        <v>45009</v>
      </c>
    </row>
    <row r="1546" spans="1:1" x14ac:dyDescent="0.3">
      <c r="A1546" s="1">
        <v>45010</v>
      </c>
    </row>
    <row r="1547" spans="1:1" x14ac:dyDescent="0.3">
      <c r="A1547" s="1">
        <v>45011</v>
      </c>
    </row>
    <row r="1548" spans="1:1" x14ac:dyDescent="0.3">
      <c r="A1548" s="1">
        <v>45012</v>
      </c>
    </row>
    <row r="1549" spans="1:1" x14ac:dyDescent="0.3">
      <c r="A1549" s="1">
        <v>45013</v>
      </c>
    </row>
    <row r="1550" spans="1:1" x14ac:dyDescent="0.3">
      <c r="A1550" s="1">
        <v>45014</v>
      </c>
    </row>
    <row r="1551" spans="1:1" x14ac:dyDescent="0.3">
      <c r="A1551" s="1">
        <v>45015</v>
      </c>
    </row>
    <row r="1552" spans="1:1" x14ac:dyDescent="0.3">
      <c r="A1552" s="1">
        <v>45016</v>
      </c>
    </row>
    <row r="1553" spans="1:1" x14ac:dyDescent="0.3">
      <c r="A1553" s="1">
        <v>45017</v>
      </c>
    </row>
    <row r="1554" spans="1:1" x14ac:dyDescent="0.3">
      <c r="A1554" s="1">
        <v>45018</v>
      </c>
    </row>
    <row r="1555" spans="1:1" x14ac:dyDescent="0.3">
      <c r="A1555" s="1">
        <v>45019</v>
      </c>
    </row>
    <row r="1556" spans="1:1" x14ac:dyDescent="0.3">
      <c r="A1556" s="1">
        <v>45020</v>
      </c>
    </row>
    <row r="1557" spans="1:1" x14ac:dyDescent="0.3">
      <c r="A1557" s="1">
        <v>45021</v>
      </c>
    </row>
    <row r="1558" spans="1:1" x14ac:dyDescent="0.3">
      <c r="A1558" s="1">
        <v>45022</v>
      </c>
    </row>
    <row r="1559" spans="1:1" x14ac:dyDescent="0.3">
      <c r="A1559" s="1">
        <v>45023</v>
      </c>
    </row>
    <row r="1560" spans="1:1" x14ac:dyDescent="0.3">
      <c r="A1560" s="1">
        <v>45024</v>
      </c>
    </row>
    <row r="1561" spans="1:1" x14ac:dyDescent="0.3">
      <c r="A1561" s="1">
        <v>45025</v>
      </c>
    </row>
    <row r="1562" spans="1:1" x14ac:dyDescent="0.3">
      <c r="A1562" s="1">
        <v>45026</v>
      </c>
    </row>
    <row r="1563" spans="1:1" x14ac:dyDescent="0.3">
      <c r="A1563" s="1">
        <v>45027</v>
      </c>
    </row>
    <row r="1564" spans="1:1" x14ac:dyDescent="0.3">
      <c r="A1564" s="1">
        <v>45028</v>
      </c>
    </row>
    <row r="1565" spans="1:1" x14ac:dyDescent="0.3">
      <c r="A1565" s="1">
        <v>45029</v>
      </c>
    </row>
    <row r="1566" spans="1:1" x14ac:dyDescent="0.3">
      <c r="A1566" s="1">
        <v>45030</v>
      </c>
    </row>
    <row r="1567" spans="1:1" x14ac:dyDescent="0.3">
      <c r="A1567" s="1">
        <v>45031</v>
      </c>
    </row>
    <row r="1568" spans="1:1" x14ac:dyDescent="0.3">
      <c r="A1568" s="1">
        <v>45032</v>
      </c>
    </row>
    <row r="1569" spans="1:1" x14ac:dyDescent="0.3">
      <c r="A1569" s="1">
        <v>45033</v>
      </c>
    </row>
    <row r="1570" spans="1:1" x14ac:dyDescent="0.3">
      <c r="A1570" s="1">
        <v>45034</v>
      </c>
    </row>
    <row r="1571" spans="1:1" x14ac:dyDescent="0.3">
      <c r="A1571" s="1">
        <v>45035</v>
      </c>
    </row>
    <row r="1572" spans="1:1" x14ac:dyDescent="0.3">
      <c r="A1572" s="1">
        <v>45036</v>
      </c>
    </row>
    <row r="1573" spans="1:1" x14ac:dyDescent="0.3">
      <c r="A1573" s="1">
        <v>45037</v>
      </c>
    </row>
    <row r="1574" spans="1:1" x14ac:dyDescent="0.3">
      <c r="A1574" s="1">
        <v>45038</v>
      </c>
    </row>
    <row r="1575" spans="1:1" x14ac:dyDescent="0.3">
      <c r="A1575" s="1">
        <v>45039</v>
      </c>
    </row>
    <row r="1576" spans="1:1" x14ac:dyDescent="0.3">
      <c r="A1576" s="1">
        <v>45040</v>
      </c>
    </row>
    <row r="1577" spans="1:1" x14ac:dyDescent="0.3">
      <c r="A1577" s="1">
        <v>45041</v>
      </c>
    </row>
    <row r="1578" spans="1:1" x14ac:dyDescent="0.3">
      <c r="A1578" s="1">
        <v>45042</v>
      </c>
    </row>
    <row r="1579" spans="1:1" x14ac:dyDescent="0.3">
      <c r="A1579" s="1">
        <v>45043</v>
      </c>
    </row>
    <row r="1580" spans="1:1" x14ac:dyDescent="0.3">
      <c r="A1580" s="1">
        <v>45044</v>
      </c>
    </row>
    <row r="1581" spans="1:1" x14ac:dyDescent="0.3">
      <c r="A1581" s="1">
        <v>45045</v>
      </c>
    </row>
    <row r="1582" spans="1:1" x14ac:dyDescent="0.3">
      <c r="A1582" s="1">
        <v>45046</v>
      </c>
    </row>
    <row r="1583" spans="1:1" x14ac:dyDescent="0.3">
      <c r="A1583" s="1">
        <v>45047</v>
      </c>
    </row>
    <row r="1584" spans="1:1" x14ac:dyDescent="0.3">
      <c r="A1584" s="1">
        <v>45048</v>
      </c>
    </row>
    <row r="1585" spans="1:1" x14ac:dyDescent="0.3">
      <c r="A1585" s="1">
        <v>45049</v>
      </c>
    </row>
    <row r="1586" spans="1:1" x14ac:dyDescent="0.3">
      <c r="A1586" s="1">
        <v>45050</v>
      </c>
    </row>
    <row r="1587" spans="1:1" x14ac:dyDescent="0.3">
      <c r="A1587" s="1">
        <v>45051</v>
      </c>
    </row>
    <row r="1588" spans="1:1" x14ac:dyDescent="0.3">
      <c r="A1588" s="1">
        <v>45052</v>
      </c>
    </row>
    <row r="1589" spans="1:1" x14ac:dyDescent="0.3">
      <c r="A1589" s="1">
        <v>45053</v>
      </c>
    </row>
    <row r="1590" spans="1:1" x14ac:dyDescent="0.3">
      <c r="A1590" s="1">
        <v>45054</v>
      </c>
    </row>
    <row r="1591" spans="1:1" x14ac:dyDescent="0.3">
      <c r="A1591" s="1">
        <v>45055</v>
      </c>
    </row>
    <row r="1592" spans="1:1" x14ac:dyDescent="0.3">
      <c r="A1592" s="1">
        <v>45056</v>
      </c>
    </row>
    <row r="1593" spans="1:1" x14ac:dyDescent="0.3">
      <c r="A1593" s="1">
        <v>45057</v>
      </c>
    </row>
    <row r="1594" spans="1:1" x14ac:dyDescent="0.3">
      <c r="A1594" s="1">
        <v>45058</v>
      </c>
    </row>
    <row r="1595" spans="1:1" x14ac:dyDescent="0.3">
      <c r="A1595" s="1">
        <v>45059</v>
      </c>
    </row>
    <row r="1596" spans="1:1" x14ac:dyDescent="0.3">
      <c r="A1596" s="1">
        <v>45060</v>
      </c>
    </row>
    <row r="1597" spans="1:1" x14ac:dyDescent="0.3">
      <c r="A1597" s="1">
        <v>45061</v>
      </c>
    </row>
    <row r="1598" spans="1:1" x14ac:dyDescent="0.3">
      <c r="A1598" s="1">
        <v>45062</v>
      </c>
    </row>
    <row r="1599" spans="1:1" x14ac:dyDescent="0.3">
      <c r="A1599" s="1">
        <v>45063</v>
      </c>
    </row>
    <row r="1600" spans="1:1" x14ac:dyDescent="0.3">
      <c r="A1600" s="1">
        <v>45064</v>
      </c>
    </row>
    <row r="1601" spans="1:1" x14ac:dyDescent="0.3">
      <c r="A1601" s="1">
        <v>45065</v>
      </c>
    </row>
    <row r="1602" spans="1:1" x14ac:dyDescent="0.3">
      <c r="A1602" s="1">
        <v>45066</v>
      </c>
    </row>
    <row r="1603" spans="1:1" x14ac:dyDescent="0.3">
      <c r="A1603" s="1">
        <v>45067</v>
      </c>
    </row>
    <row r="1604" spans="1:1" x14ac:dyDescent="0.3">
      <c r="A1604" s="1">
        <v>45068</v>
      </c>
    </row>
    <row r="1605" spans="1:1" x14ac:dyDescent="0.3">
      <c r="A1605" s="1">
        <v>45069</v>
      </c>
    </row>
    <row r="1606" spans="1:1" x14ac:dyDescent="0.3">
      <c r="A1606" s="1">
        <v>45070</v>
      </c>
    </row>
    <row r="1607" spans="1:1" x14ac:dyDescent="0.3">
      <c r="A1607" s="1">
        <v>45071</v>
      </c>
    </row>
    <row r="1608" spans="1:1" x14ac:dyDescent="0.3">
      <c r="A1608" s="1">
        <v>45072</v>
      </c>
    </row>
    <row r="1609" spans="1:1" x14ac:dyDescent="0.3">
      <c r="A1609" s="1">
        <v>45073</v>
      </c>
    </row>
    <row r="1610" spans="1:1" x14ac:dyDescent="0.3">
      <c r="A1610" s="1">
        <v>45074</v>
      </c>
    </row>
    <row r="1611" spans="1:1" x14ac:dyDescent="0.3">
      <c r="A1611" s="1">
        <v>45075</v>
      </c>
    </row>
    <row r="1612" spans="1:1" x14ac:dyDescent="0.3">
      <c r="A1612" s="1">
        <v>45076</v>
      </c>
    </row>
    <row r="1613" spans="1:1" x14ac:dyDescent="0.3">
      <c r="A1613" s="1">
        <v>45077</v>
      </c>
    </row>
    <row r="1614" spans="1:1" x14ac:dyDescent="0.3">
      <c r="A1614" s="1">
        <v>45078</v>
      </c>
    </row>
    <row r="1615" spans="1:1" x14ac:dyDescent="0.3">
      <c r="A1615" s="1">
        <v>45079</v>
      </c>
    </row>
    <row r="1616" spans="1:1" x14ac:dyDescent="0.3">
      <c r="A1616" s="1">
        <v>45080</v>
      </c>
    </row>
    <row r="1617" spans="1:1" x14ac:dyDescent="0.3">
      <c r="A1617" s="1">
        <v>45081</v>
      </c>
    </row>
    <row r="1618" spans="1:1" x14ac:dyDescent="0.3">
      <c r="A1618" s="1">
        <v>45082</v>
      </c>
    </row>
    <row r="1619" spans="1:1" x14ac:dyDescent="0.3">
      <c r="A1619" s="1">
        <v>45083</v>
      </c>
    </row>
    <row r="1620" spans="1:1" x14ac:dyDescent="0.3">
      <c r="A1620" s="1">
        <v>45084</v>
      </c>
    </row>
    <row r="1621" spans="1:1" x14ac:dyDescent="0.3">
      <c r="A1621" s="1">
        <v>45085</v>
      </c>
    </row>
    <row r="1622" spans="1:1" x14ac:dyDescent="0.3">
      <c r="A1622" s="1">
        <v>45086</v>
      </c>
    </row>
    <row r="1623" spans="1:1" x14ac:dyDescent="0.3">
      <c r="A1623" s="1">
        <v>45087</v>
      </c>
    </row>
    <row r="1624" spans="1:1" x14ac:dyDescent="0.3">
      <c r="A1624" s="1">
        <v>45088</v>
      </c>
    </row>
    <row r="1625" spans="1:1" x14ac:dyDescent="0.3">
      <c r="A1625" s="1">
        <v>45089</v>
      </c>
    </row>
    <row r="1626" spans="1:1" x14ac:dyDescent="0.3">
      <c r="A1626" s="1">
        <v>45090</v>
      </c>
    </row>
    <row r="1627" spans="1:1" x14ac:dyDescent="0.3">
      <c r="A1627" s="1">
        <v>45091</v>
      </c>
    </row>
    <row r="1628" spans="1:1" x14ac:dyDescent="0.3">
      <c r="A1628" s="1">
        <v>45092</v>
      </c>
    </row>
    <row r="1629" spans="1:1" x14ac:dyDescent="0.3">
      <c r="A1629" s="1">
        <v>45093</v>
      </c>
    </row>
    <row r="1630" spans="1:1" x14ac:dyDescent="0.3">
      <c r="A1630" s="1">
        <v>45094</v>
      </c>
    </row>
    <row r="1631" spans="1:1" x14ac:dyDescent="0.3">
      <c r="A1631" s="1">
        <v>45095</v>
      </c>
    </row>
    <row r="1632" spans="1:1" x14ac:dyDescent="0.3">
      <c r="A1632" s="1">
        <v>45096</v>
      </c>
    </row>
    <row r="1633" spans="1:1" x14ac:dyDescent="0.3">
      <c r="A1633" s="1">
        <v>45097</v>
      </c>
    </row>
    <row r="1634" spans="1:1" x14ac:dyDescent="0.3">
      <c r="A1634" s="1">
        <v>45098</v>
      </c>
    </row>
    <row r="1635" spans="1:1" x14ac:dyDescent="0.3">
      <c r="A1635" s="1">
        <v>45099</v>
      </c>
    </row>
    <row r="1636" spans="1:1" x14ac:dyDescent="0.3">
      <c r="A1636" s="1">
        <v>45100</v>
      </c>
    </row>
    <row r="1637" spans="1:1" x14ac:dyDescent="0.3">
      <c r="A1637" s="1">
        <v>45101</v>
      </c>
    </row>
    <row r="1638" spans="1:1" x14ac:dyDescent="0.3">
      <c r="A1638" s="1">
        <v>45102</v>
      </c>
    </row>
    <row r="1639" spans="1:1" x14ac:dyDescent="0.3">
      <c r="A1639" s="1">
        <v>45103</v>
      </c>
    </row>
    <row r="1640" spans="1:1" x14ac:dyDescent="0.3">
      <c r="A1640" s="1">
        <v>45104</v>
      </c>
    </row>
    <row r="1641" spans="1:1" x14ac:dyDescent="0.3">
      <c r="A1641" s="1">
        <v>45105</v>
      </c>
    </row>
    <row r="1642" spans="1:1" x14ac:dyDescent="0.3">
      <c r="A1642" s="1">
        <v>45106</v>
      </c>
    </row>
    <row r="1643" spans="1:1" x14ac:dyDescent="0.3">
      <c r="A1643" s="1">
        <v>45107</v>
      </c>
    </row>
    <row r="1644" spans="1:1" x14ac:dyDescent="0.3">
      <c r="A1644" s="1">
        <v>45108</v>
      </c>
    </row>
    <row r="1645" spans="1:1" x14ac:dyDescent="0.3">
      <c r="A1645" s="1">
        <v>45109</v>
      </c>
    </row>
    <row r="1646" spans="1:1" x14ac:dyDescent="0.3">
      <c r="A1646" s="1">
        <v>45110</v>
      </c>
    </row>
    <row r="1647" spans="1:1" x14ac:dyDescent="0.3">
      <c r="A1647" s="1">
        <v>45111</v>
      </c>
    </row>
    <row r="1648" spans="1:1" x14ac:dyDescent="0.3">
      <c r="A1648" s="1">
        <v>45112</v>
      </c>
    </row>
    <row r="1649" spans="1:1" x14ac:dyDescent="0.3">
      <c r="A1649" s="1">
        <v>45113</v>
      </c>
    </row>
    <row r="1650" spans="1:1" x14ac:dyDescent="0.3">
      <c r="A1650" s="1">
        <v>45114</v>
      </c>
    </row>
    <row r="1651" spans="1:1" x14ac:dyDescent="0.3">
      <c r="A1651" s="1">
        <v>45115</v>
      </c>
    </row>
    <row r="1652" spans="1:1" x14ac:dyDescent="0.3">
      <c r="A1652" s="1">
        <v>45116</v>
      </c>
    </row>
    <row r="1653" spans="1:1" x14ac:dyDescent="0.3">
      <c r="A1653" s="1">
        <v>45117</v>
      </c>
    </row>
    <row r="1654" spans="1:1" x14ac:dyDescent="0.3">
      <c r="A1654" s="1">
        <v>45118</v>
      </c>
    </row>
    <row r="1655" spans="1:1" x14ac:dyDescent="0.3">
      <c r="A1655" s="1">
        <v>45119</v>
      </c>
    </row>
    <row r="1656" spans="1:1" x14ac:dyDescent="0.3">
      <c r="A1656" s="1">
        <v>45120</v>
      </c>
    </row>
    <row r="1657" spans="1:1" x14ac:dyDescent="0.3">
      <c r="A1657" s="1">
        <v>45121</v>
      </c>
    </row>
    <row r="1658" spans="1:1" x14ac:dyDescent="0.3">
      <c r="A1658" s="1">
        <v>45122</v>
      </c>
    </row>
    <row r="1659" spans="1:1" x14ac:dyDescent="0.3">
      <c r="A1659" s="1">
        <v>45123</v>
      </c>
    </row>
    <row r="1660" spans="1:1" x14ac:dyDescent="0.3">
      <c r="A1660" s="1">
        <v>45124</v>
      </c>
    </row>
    <row r="1661" spans="1:1" x14ac:dyDescent="0.3">
      <c r="A1661" s="1">
        <v>45125</v>
      </c>
    </row>
    <row r="1662" spans="1:1" x14ac:dyDescent="0.3">
      <c r="A1662" s="1">
        <v>45126</v>
      </c>
    </row>
    <row r="1663" spans="1:1" x14ac:dyDescent="0.3">
      <c r="A1663" s="1">
        <v>45127</v>
      </c>
    </row>
    <row r="1664" spans="1:1" x14ac:dyDescent="0.3">
      <c r="A1664" s="1">
        <v>45128</v>
      </c>
    </row>
    <row r="1665" spans="1:1" x14ac:dyDescent="0.3">
      <c r="A1665" s="1">
        <v>45129</v>
      </c>
    </row>
    <row r="1666" spans="1:1" x14ac:dyDescent="0.3">
      <c r="A1666" s="1">
        <v>45130</v>
      </c>
    </row>
    <row r="1667" spans="1:1" x14ac:dyDescent="0.3">
      <c r="A1667" s="1">
        <v>45131</v>
      </c>
    </row>
    <row r="1668" spans="1:1" x14ac:dyDescent="0.3">
      <c r="A1668" s="1">
        <v>45132</v>
      </c>
    </row>
    <row r="1669" spans="1:1" x14ac:dyDescent="0.3">
      <c r="A1669" s="1">
        <v>45133</v>
      </c>
    </row>
    <row r="1670" spans="1:1" x14ac:dyDescent="0.3">
      <c r="A1670" s="1">
        <v>45134</v>
      </c>
    </row>
    <row r="1671" spans="1:1" x14ac:dyDescent="0.3">
      <c r="A1671" s="1">
        <v>45135</v>
      </c>
    </row>
    <row r="1672" spans="1:1" x14ac:dyDescent="0.3">
      <c r="A1672" s="1">
        <v>45136</v>
      </c>
    </row>
    <row r="1673" spans="1:1" x14ac:dyDescent="0.3">
      <c r="A1673" s="1">
        <v>45137</v>
      </c>
    </row>
    <row r="1674" spans="1:1" x14ac:dyDescent="0.3">
      <c r="A1674" s="1">
        <v>45138</v>
      </c>
    </row>
    <row r="1675" spans="1:1" x14ac:dyDescent="0.3">
      <c r="A1675" s="1">
        <v>45139</v>
      </c>
    </row>
    <row r="1676" spans="1:1" x14ac:dyDescent="0.3">
      <c r="A1676" s="1">
        <v>45140</v>
      </c>
    </row>
    <row r="1677" spans="1:1" x14ac:dyDescent="0.3">
      <c r="A1677" s="1">
        <v>45141</v>
      </c>
    </row>
    <row r="1678" spans="1:1" x14ac:dyDescent="0.3">
      <c r="A1678" s="1">
        <v>45142</v>
      </c>
    </row>
    <row r="1679" spans="1:1" x14ac:dyDescent="0.3">
      <c r="A1679" s="1">
        <v>45143</v>
      </c>
    </row>
    <row r="1680" spans="1:1" x14ac:dyDescent="0.3">
      <c r="A1680" s="1">
        <v>45144</v>
      </c>
    </row>
    <row r="1681" spans="1:1" x14ac:dyDescent="0.3">
      <c r="A1681" s="1">
        <v>45145</v>
      </c>
    </row>
    <row r="1682" spans="1:1" x14ac:dyDescent="0.3">
      <c r="A1682" s="1">
        <v>45146</v>
      </c>
    </row>
    <row r="1683" spans="1:1" x14ac:dyDescent="0.3">
      <c r="A1683" s="1">
        <v>45147</v>
      </c>
    </row>
    <row r="1684" spans="1:1" x14ac:dyDescent="0.3">
      <c r="A1684" s="1">
        <v>45148</v>
      </c>
    </row>
    <row r="1685" spans="1:1" x14ac:dyDescent="0.3">
      <c r="A1685" s="1">
        <v>45149</v>
      </c>
    </row>
    <row r="1686" spans="1:1" x14ac:dyDescent="0.3">
      <c r="A1686" s="1">
        <v>45150</v>
      </c>
    </row>
    <row r="1687" spans="1:1" x14ac:dyDescent="0.3">
      <c r="A1687" s="1">
        <v>45151</v>
      </c>
    </row>
    <row r="1688" spans="1:1" x14ac:dyDescent="0.3">
      <c r="A1688" s="1">
        <v>45152</v>
      </c>
    </row>
    <row r="1689" spans="1:1" x14ac:dyDescent="0.3">
      <c r="A1689" s="1">
        <v>45153</v>
      </c>
    </row>
    <row r="1690" spans="1:1" x14ac:dyDescent="0.3">
      <c r="A1690" s="1">
        <v>45154</v>
      </c>
    </row>
    <row r="1691" spans="1:1" x14ac:dyDescent="0.3">
      <c r="A1691" s="1">
        <v>45155</v>
      </c>
    </row>
    <row r="1692" spans="1:1" x14ac:dyDescent="0.3">
      <c r="A1692" s="1">
        <v>45156</v>
      </c>
    </row>
    <row r="1693" spans="1:1" x14ac:dyDescent="0.3">
      <c r="A1693" s="1">
        <v>45157</v>
      </c>
    </row>
    <row r="1694" spans="1:1" x14ac:dyDescent="0.3">
      <c r="A1694" s="1">
        <v>45158</v>
      </c>
    </row>
    <row r="1695" spans="1:1" x14ac:dyDescent="0.3">
      <c r="A1695" s="1">
        <v>45159</v>
      </c>
    </row>
    <row r="1696" spans="1:1" x14ac:dyDescent="0.3">
      <c r="A1696" s="1">
        <v>45160</v>
      </c>
    </row>
    <row r="1697" spans="1:1" x14ac:dyDescent="0.3">
      <c r="A1697" s="1">
        <v>45161</v>
      </c>
    </row>
    <row r="1698" spans="1:1" x14ac:dyDescent="0.3">
      <c r="A1698" s="1">
        <v>45162</v>
      </c>
    </row>
    <row r="1699" spans="1:1" x14ac:dyDescent="0.3">
      <c r="A1699" s="1">
        <v>45163</v>
      </c>
    </row>
    <row r="1700" spans="1:1" x14ac:dyDescent="0.3">
      <c r="A1700" s="1">
        <v>45164</v>
      </c>
    </row>
    <row r="1701" spans="1:1" x14ac:dyDescent="0.3">
      <c r="A1701" s="1">
        <v>45165</v>
      </c>
    </row>
    <row r="1702" spans="1:1" x14ac:dyDescent="0.3">
      <c r="A1702" s="1">
        <v>45166</v>
      </c>
    </row>
    <row r="1703" spans="1:1" x14ac:dyDescent="0.3">
      <c r="A1703" s="1">
        <v>45167</v>
      </c>
    </row>
    <row r="1704" spans="1:1" x14ac:dyDescent="0.3">
      <c r="A1704" s="1">
        <v>45168</v>
      </c>
    </row>
    <row r="1705" spans="1:1" x14ac:dyDescent="0.3">
      <c r="A1705" s="1">
        <v>45169</v>
      </c>
    </row>
    <row r="1706" spans="1:1" x14ac:dyDescent="0.3">
      <c r="A1706" s="1">
        <v>45170</v>
      </c>
    </row>
    <row r="1707" spans="1:1" x14ac:dyDescent="0.3">
      <c r="A1707" s="1">
        <v>45171</v>
      </c>
    </row>
    <row r="1708" spans="1:1" x14ac:dyDescent="0.3">
      <c r="A1708" s="1">
        <v>45172</v>
      </c>
    </row>
    <row r="1709" spans="1:1" x14ac:dyDescent="0.3">
      <c r="A1709" s="1">
        <v>45173</v>
      </c>
    </row>
    <row r="1710" spans="1:1" x14ac:dyDescent="0.3">
      <c r="A1710" s="1">
        <v>45174</v>
      </c>
    </row>
    <row r="1711" spans="1:1" x14ac:dyDescent="0.3">
      <c r="A1711" s="1">
        <v>45175</v>
      </c>
    </row>
    <row r="1712" spans="1:1" x14ac:dyDescent="0.3">
      <c r="A1712" s="1">
        <v>45176</v>
      </c>
    </row>
    <row r="1713" spans="1:1" x14ac:dyDescent="0.3">
      <c r="A1713" s="1">
        <v>45177</v>
      </c>
    </row>
    <row r="1714" spans="1:1" x14ac:dyDescent="0.3">
      <c r="A1714" s="1">
        <v>45178</v>
      </c>
    </row>
    <row r="1715" spans="1:1" x14ac:dyDescent="0.3">
      <c r="A1715" s="1">
        <v>45179</v>
      </c>
    </row>
    <row r="1716" spans="1:1" x14ac:dyDescent="0.3">
      <c r="A1716" s="1">
        <v>45180</v>
      </c>
    </row>
    <row r="1717" spans="1:1" x14ac:dyDescent="0.3">
      <c r="A1717" s="1">
        <v>45181</v>
      </c>
    </row>
    <row r="1718" spans="1:1" x14ac:dyDescent="0.3">
      <c r="A1718" s="1">
        <v>45182</v>
      </c>
    </row>
    <row r="1719" spans="1:1" x14ac:dyDescent="0.3">
      <c r="A1719" s="1">
        <v>45183</v>
      </c>
    </row>
    <row r="1720" spans="1:1" x14ac:dyDescent="0.3">
      <c r="A1720" s="1">
        <v>45184</v>
      </c>
    </row>
    <row r="1721" spans="1:1" x14ac:dyDescent="0.3">
      <c r="A1721" s="1">
        <v>45185</v>
      </c>
    </row>
    <row r="1722" spans="1:1" x14ac:dyDescent="0.3">
      <c r="A1722" s="1">
        <v>45186</v>
      </c>
    </row>
    <row r="1723" spans="1:1" x14ac:dyDescent="0.3">
      <c r="A1723" s="1">
        <v>45187</v>
      </c>
    </row>
    <row r="1724" spans="1:1" x14ac:dyDescent="0.3">
      <c r="A1724" s="1">
        <v>45188</v>
      </c>
    </row>
    <row r="1725" spans="1:1" x14ac:dyDescent="0.3">
      <c r="A1725" s="1">
        <v>45189</v>
      </c>
    </row>
    <row r="1726" spans="1:1" x14ac:dyDescent="0.3">
      <c r="A1726" s="1">
        <v>45190</v>
      </c>
    </row>
    <row r="1727" spans="1:1" x14ac:dyDescent="0.3">
      <c r="A1727" s="1">
        <v>45191</v>
      </c>
    </row>
    <row r="1728" spans="1:1" x14ac:dyDescent="0.3">
      <c r="A1728" s="1">
        <v>45192</v>
      </c>
    </row>
    <row r="1729" spans="1:1" x14ac:dyDescent="0.3">
      <c r="A1729" s="1">
        <v>45193</v>
      </c>
    </row>
    <row r="1730" spans="1:1" x14ac:dyDescent="0.3">
      <c r="A1730" s="1">
        <v>45194</v>
      </c>
    </row>
    <row r="1731" spans="1:1" x14ac:dyDescent="0.3">
      <c r="A1731" s="1">
        <v>45195</v>
      </c>
    </row>
    <row r="1732" spans="1:1" x14ac:dyDescent="0.3">
      <c r="A1732" s="1">
        <v>45196</v>
      </c>
    </row>
    <row r="1733" spans="1:1" x14ac:dyDescent="0.3">
      <c r="A1733" s="1">
        <v>45197</v>
      </c>
    </row>
    <row r="1734" spans="1:1" x14ac:dyDescent="0.3">
      <c r="A1734" s="1">
        <v>45198</v>
      </c>
    </row>
    <row r="1735" spans="1:1" x14ac:dyDescent="0.3">
      <c r="A1735" s="1">
        <v>45199</v>
      </c>
    </row>
    <row r="1736" spans="1:1" x14ac:dyDescent="0.3">
      <c r="A1736" s="1">
        <v>45200</v>
      </c>
    </row>
    <row r="1737" spans="1:1" x14ac:dyDescent="0.3">
      <c r="A1737" s="1">
        <v>45201</v>
      </c>
    </row>
    <row r="1738" spans="1:1" x14ac:dyDescent="0.3">
      <c r="A1738" s="1">
        <v>45202</v>
      </c>
    </row>
    <row r="1739" spans="1:1" x14ac:dyDescent="0.3">
      <c r="A1739" s="1">
        <v>45203</v>
      </c>
    </row>
    <row r="1740" spans="1:1" x14ac:dyDescent="0.3">
      <c r="A1740" s="1">
        <v>45204</v>
      </c>
    </row>
    <row r="1741" spans="1:1" x14ac:dyDescent="0.3">
      <c r="A1741" s="1">
        <v>45205</v>
      </c>
    </row>
    <row r="1742" spans="1:1" x14ac:dyDescent="0.3">
      <c r="A1742" s="1">
        <v>45206</v>
      </c>
    </row>
    <row r="1743" spans="1:1" x14ac:dyDescent="0.3">
      <c r="A1743" s="1">
        <v>45207</v>
      </c>
    </row>
    <row r="1744" spans="1:1" x14ac:dyDescent="0.3">
      <c r="A1744" s="1">
        <v>45208</v>
      </c>
    </row>
    <row r="1745" spans="1:1" x14ac:dyDescent="0.3">
      <c r="A1745" s="1">
        <v>45209</v>
      </c>
    </row>
    <row r="1746" spans="1:1" x14ac:dyDescent="0.3">
      <c r="A1746" s="1">
        <v>45210</v>
      </c>
    </row>
    <row r="1747" spans="1:1" x14ac:dyDescent="0.3">
      <c r="A1747" s="1">
        <v>45211</v>
      </c>
    </row>
    <row r="1748" spans="1:1" x14ac:dyDescent="0.3">
      <c r="A1748" s="1">
        <v>45212</v>
      </c>
    </row>
    <row r="1749" spans="1:1" x14ac:dyDescent="0.3">
      <c r="A1749" s="1">
        <v>45213</v>
      </c>
    </row>
    <row r="1750" spans="1:1" x14ac:dyDescent="0.3">
      <c r="A1750" s="1">
        <v>45214</v>
      </c>
    </row>
    <row r="1751" spans="1:1" x14ac:dyDescent="0.3">
      <c r="A1751" s="1">
        <v>45215</v>
      </c>
    </row>
    <row r="1752" spans="1:1" x14ac:dyDescent="0.3">
      <c r="A1752" s="1">
        <v>45216</v>
      </c>
    </row>
    <row r="1753" spans="1:1" x14ac:dyDescent="0.3">
      <c r="A1753" s="1">
        <v>45217</v>
      </c>
    </row>
    <row r="1754" spans="1:1" x14ac:dyDescent="0.3">
      <c r="A1754" s="1">
        <v>45218</v>
      </c>
    </row>
    <row r="1755" spans="1:1" x14ac:dyDescent="0.3">
      <c r="A1755" s="1">
        <v>45219</v>
      </c>
    </row>
    <row r="1756" spans="1:1" x14ac:dyDescent="0.3">
      <c r="A1756" s="1">
        <v>45220</v>
      </c>
    </row>
    <row r="1757" spans="1:1" x14ac:dyDescent="0.3">
      <c r="A1757" s="1">
        <v>45221</v>
      </c>
    </row>
    <row r="1758" spans="1:1" x14ac:dyDescent="0.3">
      <c r="A1758" s="1">
        <v>45222</v>
      </c>
    </row>
    <row r="1759" spans="1:1" x14ac:dyDescent="0.3">
      <c r="A1759" s="1">
        <v>45223</v>
      </c>
    </row>
    <row r="1760" spans="1:1" x14ac:dyDescent="0.3">
      <c r="A1760" s="1">
        <v>45224</v>
      </c>
    </row>
    <row r="1761" spans="1:1" x14ac:dyDescent="0.3">
      <c r="A1761" s="1">
        <v>45225</v>
      </c>
    </row>
    <row r="1762" spans="1:1" x14ac:dyDescent="0.3">
      <c r="A1762" s="1">
        <v>45226</v>
      </c>
    </row>
    <row r="1763" spans="1:1" x14ac:dyDescent="0.3">
      <c r="A1763" s="1">
        <v>45227</v>
      </c>
    </row>
    <row r="1764" spans="1:1" x14ac:dyDescent="0.3">
      <c r="A1764" s="1">
        <v>45228</v>
      </c>
    </row>
    <row r="1765" spans="1:1" x14ac:dyDescent="0.3">
      <c r="A1765" s="1">
        <v>45229</v>
      </c>
    </row>
    <row r="1766" spans="1:1" x14ac:dyDescent="0.3">
      <c r="A1766" s="1">
        <v>45230</v>
      </c>
    </row>
    <row r="1767" spans="1:1" x14ac:dyDescent="0.3">
      <c r="A1767" s="1">
        <v>45231</v>
      </c>
    </row>
    <row r="1768" spans="1:1" x14ac:dyDescent="0.3">
      <c r="A1768" s="1">
        <v>45232</v>
      </c>
    </row>
    <row r="1769" spans="1:1" x14ac:dyDescent="0.3">
      <c r="A1769" s="1">
        <v>45233</v>
      </c>
    </row>
    <row r="1770" spans="1:1" x14ac:dyDescent="0.3">
      <c r="A1770" s="1">
        <v>45234</v>
      </c>
    </row>
    <row r="1771" spans="1:1" x14ac:dyDescent="0.3">
      <c r="A1771" s="1">
        <v>45235</v>
      </c>
    </row>
    <row r="1772" spans="1:1" x14ac:dyDescent="0.3">
      <c r="A1772" s="1">
        <v>45236</v>
      </c>
    </row>
    <row r="1773" spans="1:1" x14ac:dyDescent="0.3">
      <c r="A1773" s="1">
        <v>45237</v>
      </c>
    </row>
    <row r="1774" spans="1:1" x14ac:dyDescent="0.3">
      <c r="A1774" s="1">
        <v>45238</v>
      </c>
    </row>
    <row r="1775" spans="1:1" x14ac:dyDescent="0.3">
      <c r="A1775" s="1">
        <v>45239</v>
      </c>
    </row>
    <row r="1776" spans="1:1" x14ac:dyDescent="0.3">
      <c r="A1776" s="1">
        <v>45240</v>
      </c>
    </row>
    <row r="1777" spans="1:1" x14ac:dyDescent="0.3">
      <c r="A1777" s="1">
        <v>45241</v>
      </c>
    </row>
    <row r="1778" spans="1:1" x14ac:dyDescent="0.3">
      <c r="A1778" s="1">
        <v>45242</v>
      </c>
    </row>
    <row r="1779" spans="1:1" x14ac:dyDescent="0.3">
      <c r="A1779" s="1">
        <v>45243</v>
      </c>
    </row>
    <row r="1780" spans="1:1" x14ac:dyDescent="0.3">
      <c r="A1780" s="1">
        <v>45244</v>
      </c>
    </row>
    <row r="1781" spans="1:1" x14ac:dyDescent="0.3">
      <c r="A1781" s="1">
        <v>45245</v>
      </c>
    </row>
    <row r="1782" spans="1:1" x14ac:dyDescent="0.3">
      <c r="A1782" s="1">
        <v>45246</v>
      </c>
    </row>
    <row r="1783" spans="1:1" x14ac:dyDescent="0.3">
      <c r="A1783" s="1">
        <v>45247</v>
      </c>
    </row>
    <row r="1784" spans="1:1" x14ac:dyDescent="0.3">
      <c r="A1784" s="1">
        <v>45248</v>
      </c>
    </row>
    <row r="1785" spans="1:1" x14ac:dyDescent="0.3">
      <c r="A1785" s="1">
        <v>45249</v>
      </c>
    </row>
    <row r="1786" spans="1:1" x14ac:dyDescent="0.3">
      <c r="A1786" s="1">
        <v>45250</v>
      </c>
    </row>
    <row r="1787" spans="1:1" x14ac:dyDescent="0.3">
      <c r="A1787" s="1">
        <v>45251</v>
      </c>
    </row>
    <row r="1788" spans="1:1" x14ac:dyDescent="0.3">
      <c r="A1788" s="1">
        <v>45252</v>
      </c>
    </row>
    <row r="1789" spans="1:1" x14ac:dyDescent="0.3">
      <c r="A1789" s="1">
        <v>45253</v>
      </c>
    </row>
    <row r="1790" spans="1:1" x14ac:dyDescent="0.3">
      <c r="A1790" s="1">
        <v>45254</v>
      </c>
    </row>
    <row r="1791" spans="1:1" x14ac:dyDescent="0.3">
      <c r="A1791" s="1">
        <v>45255</v>
      </c>
    </row>
    <row r="1792" spans="1:1" x14ac:dyDescent="0.3">
      <c r="A1792" s="1">
        <v>45256</v>
      </c>
    </row>
    <row r="1793" spans="1:1" x14ac:dyDescent="0.3">
      <c r="A1793" s="1">
        <v>45257</v>
      </c>
    </row>
    <row r="1794" spans="1:1" x14ac:dyDescent="0.3">
      <c r="A1794" s="1">
        <v>45258</v>
      </c>
    </row>
    <row r="1795" spans="1:1" x14ac:dyDescent="0.3">
      <c r="A1795" s="1">
        <v>45259</v>
      </c>
    </row>
    <row r="1796" spans="1:1" x14ac:dyDescent="0.3">
      <c r="A1796" s="1">
        <v>45260</v>
      </c>
    </row>
    <row r="1797" spans="1:1" x14ac:dyDescent="0.3">
      <c r="A1797" s="1">
        <v>45261</v>
      </c>
    </row>
    <row r="1798" spans="1:1" x14ac:dyDescent="0.3">
      <c r="A1798" s="1">
        <v>45262</v>
      </c>
    </row>
    <row r="1799" spans="1:1" x14ac:dyDescent="0.3">
      <c r="A1799" s="1">
        <v>45263</v>
      </c>
    </row>
    <row r="1800" spans="1:1" x14ac:dyDescent="0.3">
      <c r="A1800" s="1">
        <v>45264</v>
      </c>
    </row>
    <row r="1801" spans="1:1" x14ac:dyDescent="0.3">
      <c r="A1801" s="1">
        <v>45265</v>
      </c>
    </row>
    <row r="1802" spans="1:1" x14ac:dyDescent="0.3">
      <c r="A1802" s="1">
        <v>45266</v>
      </c>
    </row>
    <row r="1803" spans="1:1" x14ac:dyDescent="0.3">
      <c r="A1803" s="1">
        <v>45267</v>
      </c>
    </row>
    <row r="1804" spans="1:1" x14ac:dyDescent="0.3">
      <c r="A1804" s="1">
        <v>45268</v>
      </c>
    </row>
    <row r="1805" spans="1:1" x14ac:dyDescent="0.3">
      <c r="A1805" s="1">
        <v>45269</v>
      </c>
    </row>
    <row r="1806" spans="1:1" x14ac:dyDescent="0.3">
      <c r="A1806" s="1">
        <v>45270</v>
      </c>
    </row>
    <row r="1807" spans="1:1" x14ac:dyDescent="0.3">
      <c r="A1807" s="1">
        <v>45271</v>
      </c>
    </row>
    <row r="1808" spans="1:1" x14ac:dyDescent="0.3">
      <c r="A1808" s="1">
        <v>45272</v>
      </c>
    </row>
    <row r="1809" spans="1:1" x14ac:dyDescent="0.3">
      <c r="A1809" s="1">
        <v>45273</v>
      </c>
    </row>
    <row r="1810" spans="1:1" x14ac:dyDescent="0.3">
      <c r="A1810" s="1">
        <v>45274</v>
      </c>
    </row>
    <row r="1811" spans="1:1" x14ac:dyDescent="0.3">
      <c r="A1811" s="1">
        <v>45275</v>
      </c>
    </row>
    <row r="1812" spans="1:1" x14ac:dyDescent="0.3">
      <c r="A1812" s="1">
        <v>45276</v>
      </c>
    </row>
    <row r="1813" spans="1:1" x14ac:dyDescent="0.3">
      <c r="A1813" s="1">
        <v>45277</v>
      </c>
    </row>
    <row r="1814" spans="1:1" x14ac:dyDescent="0.3">
      <c r="A1814" s="1">
        <v>45278</v>
      </c>
    </row>
    <row r="1815" spans="1:1" x14ac:dyDescent="0.3">
      <c r="A1815" s="1">
        <v>45279</v>
      </c>
    </row>
    <row r="1816" spans="1:1" x14ac:dyDescent="0.3">
      <c r="A1816" s="1">
        <v>45280</v>
      </c>
    </row>
    <row r="1817" spans="1:1" x14ac:dyDescent="0.3">
      <c r="A1817" s="1">
        <v>45281</v>
      </c>
    </row>
    <row r="1818" spans="1:1" x14ac:dyDescent="0.3">
      <c r="A1818" s="1">
        <v>45282</v>
      </c>
    </row>
    <row r="1819" spans="1:1" x14ac:dyDescent="0.3">
      <c r="A1819" s="1">
        <v>45283</v>
      </c>
    </row>
    <row r="1820" spans="1:1" x14ac:dyDescent="0.3">
      <c r="A1820" s="1">
        <v>45284</v>
      </c>
    </row>
    <row r="1821" spans="1:1" x14ac:dyDescent="0.3">
      <c r="A1821" s="1">
        <v>45285</v>
      </c>
    </row>
    <row r="1822" spans="1:1" x14ac:dyDescent="0.3">
      <c r="A1822" s="1">
        <v>45286</v>
      </c>
    </row>
    <row r="1823" spans="1:1" x14ac:dyDescent="0.3">
      <c r="A1823" s="1">
        <v>45287</v>
      </c>
    </row>
    <row r="1824" spans="1:1" x14ac:dyDescent="0.3">
      <c r="A1824" s="1">
        <v>45288</v>
      </c>
    </row>
    <row r="1825" spans="1:1" x14ac:dyDescent="0.3">
      <c r="A1825" s="1">
        <v>45289</v>
      </c>
    </row>
    <row r="1826" spans="1:1" x14ac:dyDescent="0.3">
      <c r="A1826" s="1">
        <v>45290</v>
      </c>
    </row>
    <row r="1827" spans="1:1" x14ac:dyDescent="0.3">
      <c r="A1827" s="1">
        <v>45291</v>
      </c>
    </row>
    <row r="1828" spans="1:1" x14ac:dyDescent="0.3">
      <c r="A1828" s="1">
        <v>45292</v>
      </c>
    </row>
    <row r="1829" spans="1:1" x14ac:dyDescent="0.3">
      <c r="A1829" s="1">
        <v>45293</v>
      </c>
    </row>
    <row r="1830" spans="1:1" x14ac:dyDescent="0.3">
      <c r="A1830" s="1">
        <v>45294</v>
      </c>
    </row>
    <row r="1831" spans="1:1" x14ac:dyDescent="0.3">
      <c r="A1831" s="1">
        <v>45295</v>
      </c>
    </row>
    <row r="1832" spans="1:1" x14ac:dyDescent="0.3">
      <c r="A1832" s="1">
        <v>45296</v>
      </c>
    </row>
    <row r="1833" spans="1:1" x14ac:dyDescent="0.3">
      <c r="A1833" s="1">
        <v>45297</v>
      </c>
    </row>
    <row r="1834" spans="1:1" x14ac:dyDescent="0.3">
      <c r="A1834" s="1">
        <v>45298</v>
      </c>
    </row>
    <row r="1835" spans="1:1" x14ac:dyDescent="0.3">
      <c r="A1835" s="1">
        <v>45299</v>
      </c>
    </row>
    <row r="1836" spans="1:1" x14ac:dyDescent="0.3">
      <c r="A1836" s="1">
        <v>45300</v>
      </c>
    </row>
    <row r="1837" spans="1:1" x14ac:dyDescent="0.3">
      <c r="A1837" s="1">
        <v>45301</v>
      </c>
    </row>
    <row r="1838" spans="1:1" x14ac:dyDescent="0.3">
      <c r="A1838" s="1">
        <v>45302</v>
      </c>
    </row>
    <row r="1839" spans="1:1" x14ac:dyDescent="0.3">
      <c r="A1839" s="1">
        <v>45303</v>
      </c>
    </row>
    <row r="1840" spans="1:1" x14ac:dyDescent="0.3">
      <c r="A1840" s="1">
        <v>45304</v>
      </c>
    </row>
    <row r="1841" spans="1:1" x14ac:dyDescent="0.3">
      <c r="A1841" s="1">
        <v>45305</v>
      </c>
    </row>
    <row r="1842" spans="1:1" x14ac:dyDescent="0.3">
      <c r="A1842" s="1">
        <v>45306</v>
      </c>
    </row>
    <row r="1843" spans="1:1" x14ac:dyDescent="0.3">
      <c r="A1843" s="1">
        <v>45307</v>
      </c>
    </row>
    <row r="1844" spans="1:1" x14ac:dyDescent="0.3">
      <c r="A1844" s="1">
        <v>45308</v>
      </c>
    </row>
    <row r="1845" spans="1:1" x14ac:dyDescent="0.3">
      <c r="A1845" s="1">
        <v>45309</v>
      </c>
    </row>
    <row r="1846" spans="1:1" x14ac:dyDescent="0.3">
      <c r="A1846" s="1">
        <v>45310</v>
      </c>
    </row>
    <row r="1847" spans="1:1" x14ac:dyDescent="0.3">
      <c r="A1847" s="1">
        <v>45311</v>
      </c>
    </row>
    <row r="1848" spans="1:1" x14ac:dyDescent="0.3">
      <c r="A1848" s="1">
        <v>45312</v>
      </c>
    </row>
    <row r="1849" spans="1:1" x14ac:dyDescent="0.3">
      <c r="A1849" s="1">
        <v>45313</v>
      </c>
    </row>
    <row r="1850" spans="1:1" x14ac:dyDescent="0.3">
      <c r="A1850" s="1">
        <v>45314</v>
      </c>
    </row>
    <row r="1851" spans="1:1" x14ac:dyDescent="0.3">
      <c r="A1851" s="1">
        <v>45315</v>
      </c>
    </row>
    <row r="1852" spans="1:1" x14ac:dyDescent="0.3">
      <c r="A1852" s="1">
        <v>45316</v>
      </c>
    </row>
    <row r="1853" spans="1:1" x14ac:dyDescent="0.3">
      <c r="A1853" s="1">
        <v>45317</v>
      </c>
    </row>
    <row r="1854" spans="1:1" x14ac:dyDescent="0.3">
      <c r="A1854" s="1">
        <v>45318</v>
      </c>
    </row>
    <row r="1855" spans="1:1" x14ac:dyDescent="0.3">
      <c r="A1855" s="1">
        <v>45319</v>
      </c>
    </row>
    <row r="1856" spans="1:1" x14ac:dyDescent="0.3">
      <c r="A1856" s="1">
        <v>45320</v>
      </c>
    </row>
    <row r="1857" spans="1:1" x14ac:dyDescent="0.3">
      <c r="A1857" s="1">
        <v>45321</v>
      </c>
    </row>
    <row r="1858" spans="1:1" x14ac:dyDescent="0.3">
      <c r="A1858" s="1">
        <v>45322</v>
      </c>
    </row>
    <row r="1859" spans="1:1" x14ac:dyDescent="0.3">
      <c r="A1859" s="1">
        <v>45323</v>
      </c>
    </row>
    <row r="1860" spans="1:1" x14ac:dyDescent="0.3">
      <c r="A1860" s="1">
        <v>45324</v>
      </c>
    </row>
    <row r="1861" spans="1:1" x14ac:dyDescent="0.3">
      <c r="A1861" s="1">
        <v>45325</v>
      </c>
    </row>
    <row r="1862" spans="1:1" x14ac:dyDescent="0.3">
      <c r="A1862" s="1">
        <v>45326</v>
      </c>
    </row>
    <row r="1863" spans="1:1" x14ac:dyDescent="0.3">
      <c r="A1863" s="1">
        <v>45327</v>
      </c>
    </row>
    <row r="1864" spans="1:1" x14ac:dyDescent="0.3">
      <c r="A1864" s="1">
        <v>45328</v>
      </c>
    </row>
    <row r="1865" spans="1:1" x14ac:dyDescent="0.3">
      <c r="A1865" s="1">
        <v>45329</v>
      </c>
    </row>
    <row r="1866" spans="1:1" x14ac:dyDescent="0.3">
      <c r="A1866" s="1">
        <v>45330</v>
      </c>
    </row>
    <row r="1867" spans="1:1" x14ac:dyDescent="0.3">
      <c r="A1867" s="1">
        <v>45331</v>
      </c>
    </row>
    <row r="1868" spans="1:1" x14ac:dyDescent="0.3">
      <c r="A1868" s="1">
        <v>45332</v>
      </c>
    </row>
    <row r="1869" spans="1:1" x14ac:dyDescent="0.3">
      <c r="A1869" s="1">
        <v>45333</v>
      </c>
    </row>
    <row r="1870" spans="1:1" x14ac:dyDescent="0.3">
      <c r="A1870" s="1">
        <v>45334</v>
      </c>
    </row>
    <row r="1871" spans="1:1" x14ac:dyDescent="0.3">
      <c r="A1871" s="1">
        <v>45335</v>
      </c>
    </row>
    <row r="1872" spans="1:1" x14ac:dyDescent="0.3">
      <c r="A1872" s="1">
        <v>45336</v>
      </c>
    </row>
    <row r="1873" spans="1:1" x14ac:dyDescent="0.3">
      <c r="A1873" s="1">
        <v>45337</v>
      </c>
    </row>
    <row r="1874" spans="1:1" x14ac:dyDescent="0.3">
      <c r="A1874" s="1">
        <v>45338</v>
      </c>
    </row>
    <row r="1875" spans="1:1" x14ac:dyDescent="0.3">
      <c r="A1875" s="1">
        <v>45339</v>
      </c>
    </row>
    <row r="1876" spans="1:1" x14ac:dyDescent="0.3">
      <c r="A1876" s="1">
        <v>45340</v>
      </c>
    </row>
    <row r="1877" spans="1:1" x14ac:dyDescent="0.3">
      <c r="A1877" s="1">
        <v>45341</v>
      </c>
    </row>
    <row r="1878" spans="1:1" x14ac:dyDescent="0.3">
      <c r="A1878" s="1">
        <v>45342</v>
      </c>
    </row>
    <row r="1879" spans="1:1" x14ac:dyDescent="0.3">
      <c r="A1879" s="1">
        <v>45343</v>
      </c>
    </row>
    <row r="1880" spans="1:1" x14ac:dyDescent="0.3">
      <c r="A1880" s="1">
        <v>45344</v>
      </c>
    </row>
    <row r="1881" spans="1:1" x14ac:dyDescent="0.3">
      <c r="A1881" s="1">
        <v>45345</v>
      </c>
    </row>
    <row r="1882" spans="1:1" x14ac:dyDescent="0.3">
      <c r="A1882" s="1">
        <v>45346</v>
      </c>
    </row>
    <row r="1883" spans="1:1" x14ac:dyDescent="0.3">
      <c r="A1883" s="1">
        <v>45347</v>
      </c>
    </row>
    <row r="1884" spans="1:1" x14ac:dyDescent="0.3">
      <c r="A1884" s="1">
        <v>45348</v>
      </c>
    </row>
    <row r="1885" spans="1:1" x14ac:dyDescent="0.3">
      <c r="A1885" s="1">
        <v>45349</v>
      </c>
    </row>
    <row r="1886" spans="1:1" x14ac:dyDescent="0.3">
      <c r="A1886" s="1">
        <v>45350</v>
      </c>
    </row>
    <row r="1887" spans="1:1" x14ac:dyDescent="0.3">
      <c r="A1887" s="1">
        <v>45351</v>
      </c>
    </row>
    <row r="1888" spans="1:1" x14ac:dyDescent="0.3">
      <c r="A1888" s="1">
        <v>45352</v>
      </c>
    </row>
    <row r="1889" spans="1:1" x14ac:dyDescent="0.3">
      <c r="A1889" s="1">
        <v>45353</v>
      </c>
    </row>
    <row r="1890" spans="1:1" x14ac:dyDescent="0.3">
      <c r="A1890" s="1">
        <v>45354</v>
      </c>
    </row>
    <row r="1891" spans="1:1" x14ac:dyDescent="0.3">
      <c r="A1891" s="1">
        <v>45355</v>
      </c>
    </row>
    <row r="1892" spans="1:1" x14ac:dyDescent="0.3">
      <c r="A1892" s="1">
        <v>45356</v>
      </c>
    </row>
    <row r="1893" spans="1:1" x14ac:dyDescent="0.3">
      <c r="A1893" s="1">
        <v>45357</v>
      </c>
    </row>
    <row r="1894" spans="1:1" x14ac:dyDescent="0.3">
      <c r="A1894" s="1">
        <v>45358</v>
      </c>
    </row>
    <row r="1895" spans="1:1" x14ac:dyDescent="0.3">
      <c r="A1895" s="1">
        <v>45359</v>
      </c>
    </row>
    <row r="1896" spans="1:1" x14ac:dyDescent="0.3">
      <c r="A1896" s="1">
        <v>45360</v>
      </c>
    </row>
    <row r="1897" spans="1:1" x14ac:dyDescent="0.3">
      <c r="A1897" s="1">
        <v>45361</v>
      </c>
    </row>
    <row r="1898" spans="1:1" x14ac:dyDescent="0.3">
      <c r="A1898" s="1">
        <v>45362</v>
      </c>
    </row>
    <row r="1899" spans="1:1" x14ac:dyDescent="0.3">
      <c r="A1899" s="1">
        <v>45363</v>
      </c>
    </row>
    <row r="1900" spans="1:1" x14ac:dyDescent="0.3">
      <c r="A1900" s="1">
        <v>45364</v>
      </c>
    </row>
    <row r="1901" spans="1:1" x14ac:dyDescent="0.3">
      <c r="A1901" s="1">
        <v>45365</v>
      </c>
    </row>
    <row r="1902" spans="1:1" x14ac:dyDescent="0.3">
      <c r="A1902" s="1">
        <v>45366</v>
      </c>
    </row>
    <row r="1903" spans="1:1" x14ac:dyDescent="0.3">
      <c r="A1903" s="1">
        <v>45367</v>
      </c>
    </row>
    <row r="1904" spans="1:1" x14ac:dyDescent="0.3">
      <c r="A1904" s="1">
        <v>45368</v>
      </c>
    </row>
    <row r="1905" spans="1:1" x14ac:dyDescent="0.3">
      <c r="A1905" s="1">
        <v>45369</v>
      </c>
    </row>
    <row r="1906" spans="1:1" x14ac:dyDescent="0.3">
      <c r="A1906" s="1">
        <v>45370</v>
      </c>
    </row>
    <row r="1907" spans="1:1" x14ac:dyDescent="0.3">
      <c r="A1907" s="1">
        <v>45371</v>
      </c>
    </row>
    <row r="1908" spans="1:1" x14ac:dyDescent="0.3">
      <c r="A1908" s="1">
        <v>45372</v>
      </c>
    </row>
    <row r="1909" spans="1:1" x14ac:dyDescent="0.3">
      <c r="A1909" s="1">
        <v>45373</v>
      </c>
    </row>
    <row r="1910" spans="1:1" x14ac:dyDescent="0.3">
      <c r="A1910" s="1">
        <v>45374</v>
      </c>
    </row>
    <row r="1911" spans="1:1" x14ac:dyDescent="0.3">
      <c r="A1911" s="1">
        <v>45375</v>
      </c>
    </row>
    <row r="1912" spans="1:1" x14ac:dyDescent="0.3">
      <c r="A1912" s="1">
        <v>45376</v>
      </c>
    </row>
    <row r="1913" spans="1:1" x14ac:dyDescent="0.3">
      <c r="A1913" s="1">
        <v>45377</v>
      </c>
    </row>
    <row r="1914" spans="1:1" x14ac:dyDescent="0.3">
      <c r="A1914" s="1">
        <v>45378</v>
      </c>
    </row>
    <row r="1915" spans="1:1" x14ac:dyDescent="0.3">
      <c r="A1915" s="1">
        <v>45379</v>
      </c>
    </row>
    <row r="1916" spans="1:1" x14ac:dyDescent="0.3">
      <c r="A1916" s="1">
        <v>45380</v>
      </c>
    </row>
    <row r="1917" spans="1:1" x14ac:dyDescent="0.3">
      <c r="A1917" s="1">
        <v>45381</v>
      </c>
    </row>
    <row r="1918" spans="1:1" x14ac:dyDescent="0.3">
      <c r="A1918" s="1">
        <v>45382</v>
      </c>
    </row>
    <row r="1919" spans="1:1" x14ac:dyDescent="0.3">
      <c r="A1919" s="1">
        <v>45383</v>
      </c>
    </row>
    <row r="1920" spans="1:1" x14ac:dyDescent="0.3">
      <c r="A1920" s="1">
        <v>45384</v>
      </c>
    </row>
    <row r="1921" spans="1:1" x14ac:dyDescent="0.3">
      <c r="A1921" s="1">
        <v>45385</v>
      </c>
    </row>
    <row r="1922" spans="1:1" x14ac:dyDescent="0.3">
      <c r="A1922" s="1">
        <v>45386</v>
      </c>
    </row>
    <row r="1923" spans="1:1" x14ac:dyDescent="0.3">
      <c r="A1923" s="1">
        <v>45387</v>
      </c>
    </row>
    <row r="1924" spans="1:1" x14ac:dyDescent="0.3">
      <c r="A1924" s="1">
        <v>45388</v>
      </c>
    </row>
    <row r="1925" spans="1:1" x14ac:dyDescent="0.3">
      <c r="A1925" s="1">
        <v>45389</v>
      </c>
    </row>
    <row r="1926" spans="1:1" x14ac:dyDescent="0.3">
      <c r="A1926" s="1">
        <v>45390</v>
      </c>
    </row>
    <row r="1927" spans="1:1" x14ac:dyDescent="0.3">
      <c r="A1927" s="1">
        <v>45391</v>
      </c>
    </row>
    <row r="1928" spans="1:1" x14ac:dyDescent="0.3">
      <c r="A1928" s="1">
        <v>45392</v>
      </c>
    </row>
    <row r="1929" spans="1:1" x14ac:dyDescent="0.3">
      <c r="A1929" s="1">
        <v>45393</v>
      </c>
    </row>
    <row r="1930" spans="1:1" x14ac:dyDescent="0.3">
      <c r="A1930" s="1">
        <v>45394</v>
      </c>
    </row>
    <row r="1931" spans="1:1" x14ac:dyDescent="0.3">
      <c r="A1931" s="1">
        <v>45395</v>
      </c>
    </row>
    <row r="1932" spans="1:1" x14ac:dyDescent="0.3">
      <c r="A1932" s="1">
        <v>45396</v>
      </c>
    </row>
    <row r="1933" spans="1:1" x14ac:dyDescent="0.3">
      <c r="A1933" s="1">
        <v>45397</v>
      </c>
    </row>
    <row r="1934" spans="1:1" x14ac:dyDescent="0.3">
      <c r="A1934" s="1">
        <v>45398</v>
      </c>
    </row>
    <row r="1935" spans="1:1" x14ac:dyDescent="0.3">
      <c r="A1935" s="1">
        <v>45399</v>
      </c>
    </row>
    <row r="1936" spans="1:1" x14ac:dyDescent="0.3">
      <c r="A1936" s="1">
        <v>45400</v>
      </c>
    </row>
    <row r="1937" spans="1:1" x14ac:dyDescent="0.3">
      <c r="A1937" s="1">
        <v>45401</v>
      </c>
    </row>
    <row r="1938" spans="1:1" x14ac:dyDescent="0.3">
      <c r="A1938" s="1">
        <v>45402</v>
      </c>
    </row>
    <row r="1939" spans="1:1" x14ac:dyDescent="0.3">
      <c r="A1939" s="1">
        <v>45403</v>
      </c>
    </row>
    <row r="1940" spans="1:1" x14ac:dyDescent="0.3">
      <c r="A1940" s="1">
        <v>45404</v>
      </c>
    </row>
    <row r="1941" spans="1:1" x14ac:dyDescent="0.3">
      <c r="A1941" s="1">
        <v>45405</v>
      </c>
    </row>
    <row r="1942" spans="1:1" x14ac:dyDescent="0.3">
      <c r="A1942" s="1">
        <v>45406</v>
      </c>
    </row>
    <row r="1943" spans="1:1" x14ac:dyDescent="0.3">
      <c r="A1943" s="1">
        <v>45407</v>
      </c>
    </row>
    <row r="1944" spans="1:1" x14ac:dyDescent="0.3">
      <c r="A1944" s="1">
        <v>45408</v>
      </c>
    </row>
    <row r="1945" spans="1:1" x14ac:dyDescent="0.3">
      <c r="A1945" s="1">
        <v>45409</v>
      </c>
    </row>
    <row r="1946" spans="1:1" x14ac:dyDescent="0.3">
      <c r="A1946" s="1">
        <v>45410</v>
      </c>
    </row>
    <row r="1947" spans="1:1" x14ac:dyDescent="0.3">
      <c r="A1947" s="1">
        <v>45411</v>
      </c>
    </row>
    <row r="1948" spans="1:1" x14ac:dyDescent="0.3">
      <c r="A1948" s="1">
        <v>45412</v>
      </c>
    </row>
    <row r="1949" spans="1:1" x14ac:dyDescent="0.3">
      <c r="A1949" s="1">
        <v>45413</v>
      </c>
    </row>
    <row r="1950" spans="1:1" x14ac:dyDescent="0.3">
      <c r="A1950" s="1">
        <v>45414</v>
      </c>
    </row>
    <row r="1951" spans="1:1" x14ac:dyDescent="0.3">
      <c r="A1951" s="1">
        <v>45415</v>
      </c>
    </row>
    <row r="1952" spans="1:1" x14ac:dyDescent="0.3">
      <c r="A1952" s="1">
        <v>45416</v>
      </c>
    </row>
    <row r="1953" spans="1:1" x14ac:dyDescent="0.3">
      <c r="A1953" s="1">
        <v>45417</v>
      </c>
    </row>
    <row r="1954" spans="1:1" x14ac:dyDescent="0.3">
      <c r="A1954" s="1">
        <v>45418</v>
      </c>
    </row>
    <row r="1955" spans="1:1" x14ac:dyDescent="0.3">
      <c r="A1955" s="1">
        <v>45419</v>
      </c>
    </row>
    <row r="1956" spans="1:1" x14ac:dyDescent="0.3">
      <c r="A1956" s="1">
        <v>45420</v>
      </c>
    </row>
    <row r="1957" spans="1:1" x14ac:dyDescent="0.3">
      <c r="A1957" s="1">
        <v>45421</v>
      </c>
    </row>
    <row r="1958" spans="1:1" x14ac:dyDescent="0.3">
      <c r="A1958" s="1">
        <v>45422</v>
      </c>
    </row>
    <row r="1959" spans="1:1" x14ac:dyDescent="0.3">
      <c r="A1959" s="1">
        <v>45423</v>
      </c>
    </row>
    <row r="1960" spans="1:1" x14ac:dyDescent="0.3">
      <c r="A1960" s="1">
        <v>45424</v>
      </c>
    </row>
    <row r="1961" spans="1:1" x14ac:dyDescent="0.3">
      <c r="A1961" s="1">
        <v>45425</v>
      </c>
    </row>
    <row r="1962" spans="1:1" x14ac:dyDescent="0.3">
      <c r="A1962" s="1">
        <v>45426</v>
      </c>
    </row>
    <row r="1963" spans="1:1" x14ac:dyDescent="0.3">
      <c r="A1963" s="1">
        <v>45427</v>
      </c>
    </row>
    <row r="1964" spans="1:1" x14ac:dyDescent="0.3">
      <c r="A1964" s="1">
        <v>45428</v>
      </c>
    </row>
    <row r="1965" spans="1:1" x14ac:dyDescent="0.3">
      <c r="A1965" s="1">
        <v>45429</v>
      </c>
    </row>
    <row r="1966" spans="1:1" x14ac:dyDescent="0.3">
      <c r="A1966" s="1">
        <v>45430</v>
      </c>
    </row>
    <row r="1967" spans="1:1" x14ac:dyDescent="0.3">
      <c r="A1967" s="1">
        <v>45431</v>
      </c>
    </row>
    <row r="1968" spans="1:1" x14ac:dyDescent="0.3">
      <c r="A1968" s="1">
        <v>45432</v>
      </c>
    </row>
    <row r="1969" spans="1:1" x14ac:dyDescent="0.3">
      <c r="A1969" s="1">
        <v>45433</v>
      </c>
    </row>
    <row r="1970" spans="1:1" x14ac:dyDescent="0.3">
      <c r="A1970" s="1">
        <v>45434</v>
      </c>
    </row>
    <row r="1971" spans="1:1" x14ac:dyDescent="0.3">
      <c r="A1971" s="1">
        <v>45435</v>
      </c>
    </row>
    <row r="1972" spans="1:1" x14ac:dyDescent="0.3">
      <c r="A1972" s="1">
        <v>45436</v>
      </c>
    </row>
    <row r="1973" spans="1:1" x14ac:dyDescent="0.3">
      <c r="A1973" s="1">
        <v>45437</v>
      </c>
    </row>
    <row r="1974" spans="1:1" x14ac:dyDescent="0.3">
      <c r="A1974" s="1">
        <v>45438</v>
      </c>
    </row>
    <row r="1975" spans="1:1" x14ac:dyDescent="0.3">
      <c r="A1975" s="1">
        <v>45439</v>
      </c>
    </row>
    <row r="1976" spans="1:1" x14ac:dyDescent="0.3">
      <c r="A1976" s="1">
        <v>45440</v>
      </c>
    </row>
    <row r="1977" spans="1:1" x14ac:dyDescent="0.3">
      <c r="A1977" s="1">
        <v>45441</v>
      </c>
    </row>
    <row r="1978" spans="1:1" x14ac:dyDescent="0.3">
      <c r="A1978" s="1">
        <v>45442</v>
      </c>
    </row>
    <row r="1979" spans="1:1" x14ac:dyDescent="0.3">
      <c r="A1979" s="1">
        <v>45443</v>
      </c>
    </row>
    <row r="1980" spans="1:1" x14ac:dyDescent="0.3">
      <c r="A1980" s="1">
        <v>45444</v>
      </c>
    </row>
    <row r="1981" spans="1:1" x14ac:dyDescent="0.3">
      <c r="A1981" s="1">
        <v>45445</v>
      </c>
    </row>
    <row r="1982" spans="1:1" x14ac:dyDescent="0.3">
      <c r="A1982" s="1">
        <v>45446</v>
      </c>
    </row>
    <row r="1983" spans="1:1" x14ac:dyDescent="0.3">
      <c r="A1983" s="1">
        <v>45447</v>
      </c>
    </row>
    <row r="1984" spans="1:1" x14ac:dyDescent="0.3">
      <c r="A1984" s="1">
        <v>45448</v>
      </c>
    </row>
    <row r="1985" spans="1:1" x14ac:dyDescent="0.3">
      <c r="A1985" s="1">
        <v>45449</v>
      </c>
    </row>
    <row r="1986" spans="1:1" x14ac:dyDescent="0.3">
      <c r="A1986" s="1">
        <v>45450</v>
      </c>
    </row>
    <row r="1987" spans="1:1" x14ac:dyDescent="0.3">
      <c r="A1987" s="1">
        <v>45451</v>
      </c>
    </row>
    <row r="1988" spans="1:1" x14ac:dyDescent="0.3">
      <c r="A1988" s="1">
        <v>45452</v>
      </c>
    </row>
    <row r="1989" spans="1:1" x14ac:dyDescent="0.3">
      <c r="A1989" s="1">
        <v>45453</v>
      </c>
    </row>
    <row r="1990" spans="1:1" x14ac:dyDescent="0.3">
      <c r="A1990" s="1">
        <v>45454</v>
      </c>
    </row>
    <row r="1991" spans="1:1" x14ac:dyDescent="0.3">
      <c r="A1991" s="1">
        <v>45455</v>
      </c>
    </row>
    <row r="1992" spans="1:1" x14ac:dyDescent="0.3">
      <c r="A1992" s="1">
        <v>45456</v>
      </c>
    </row>
    <row r="1993" spans="1:1" x14ac:dyDescent="0.3">
      <c r="A1993" s="1">
        <v>45457</v>
      </c>
    </row>
    <row r="1994" spans="1:1" x14ac:dyDescent="0.3">
      <c r="A1994" s="1">
        <v>45458</v>
      </c>
    </row>
    <row r="1995" spans="1:1" x14ac:dyDescent="0.3">
      <c r="A1995" s="1">
        <v>45459</v>
      </c>
    </row>
    <row r="1996" spans="1:1" x14ac:dyDescent="0.3">
      <c r="A1996" s="1">
        <v>45460</v>
      </c>
    </row>
    <row r="1997" spans="1:1" x14ac:dyDescent="0.3">
      <c r="A1997" s="1">
        <v>45461</v>
      </c>
    </row>
    <row r="1998" spans="1:1" x14ac:dyDescent="0.3">
      <c r="A1998" s="1">
        <v>45462</v>
      </c>
    </row>
    <row r="1999" spans="1:1" x14ac:dyDescent="0.3">
      <c r="A1999" s="1">
        <v>45463</v>
      </c>
    </row>
    <row r="2000" spans="1:1" x14ac:dyDescent="0.3">
      <c r="A2000" s="1">
        <v>45464</v>
      </c>
    </row>
    <row r="2001" spans="1:1" x14ac:dyDescent="0.3">
      <c r="A2001" s="1">
        <v>45465</v>
      </c>
    </row>
    <row r="2002" spans="1:1" x14ac:dyDescent="0.3">
      <c r="A2002" s="1">
        <v>45466</v>
      </c>
    </row>
    <row r="2003" spans="1:1" x14ac:dyDescent="0.3">
      <c r="A2003" s="1">
        <v>45467</v>
      </c>
    </row>
    <row r="2004" spans="1:1" x14ac:dyDescent="0.3">
      <c r="A2004" s="1">
        <v>45468</v>
      </c>
    </row>
    <row r="2005" spans="1:1" x14ac:dyDescent="0.3">
      <c r="A2005" s="1">
        <v>45469</v>
      </c>
    </row>
    <row r="2006" spans="1:1" x14ac:dyDescent="0.3">
      <c r="A2006" s="1">
        <v>45470</v>
      </c>
    </row>
    <row r="2007" spans="1:1" x14ac:dyDescent="0.3">
      <c r="A2007" s="1">
        <v>45471</v>
      </c>
    </row>
    <row r="2008" spans="1:1" x14ac:dyDescent="0.3">
      <c r="A2008" s="1">
        <v>45472</v>
      </c>
    </row>
    <row r="2009" spans="1:1" x14ac:dyDescent="0.3">
      <c r="A2009" s="1">
        <v>45473</v>
      </c>
    </row>
    <row r="2010" spans="1:1" x14ac:dyDescent="0.3">
      <c r="A2010" s="1">
        <v>45474</v>
      </c>
    </row>
    <row r="2011" spans="1:1" x14ac:dyDescent="0.3">
      <c r="A2011" s="1">
        <v>45475</v>
      </c>
    </row>
    <row r="2012" spans="1:1" x14ac:dyDescent="0.3">
      <c r="A2012" s="1">
        <v>45476</v>
      </c>
    </row>
    <row r="2013" spans="1:1" x14ac:dyDescent="0.3">
      <c r="A2013" s="1">
        <v>45477</v>
      </c>
    </row>
    <row r="2014" spans="1:1" x14ac:dyDescent="0.3">
      <c r="A2014" s="1">
        <v>45478</v>
      </c>
    </row>
    <row r="2015" spans="1:1" x14ac:dyDescent="0.3">
      <c r="A2015" s="1">
        <v>45479</v>
      </c>
    </row>
    <row r="2016" spans="1:1" x14ac:dyDescent="0.3">
      <c r="A2016" s="1">
        <v>45480</v>
      </c>
    </row>
    <row r="2017" spans="1:1" x14ac:dyDescent="0.3">
      <c r="A2017" s="1">
        <v>45481</v>
      </c>
    </row>
    <row r="2018" spans="1:1" x14ac:dyDescent="0.3">
      <c r="A2018" s="1">
        <v>45482</v>
      </c>
    </row>
    <row r="2019" spans="1:1" x14ac:dyDescent="0.3">
      <c r="A2019" s="1">
        <v>45483</v>
      </c>
    </row>
    <row r="2020" spans="1:1" x14ac:dyDescent="0.3">
      <c r="A2020" s="1">
        <v>45484</v>
      </c>
    </row>
    <row r="2021" spans="1:1" x14ac:dyDescent="0.3">
      <c r="A2021" s="1">
        <v>45485</v>
      </c>
    </row>
    <row r="2022" spans="1:1" x14ac:dyDescent="0.3">
      <c r="A2022" s="1">
        <v>45486</v>
      </c>
    </row>
    <row r="2023" spans="1:1" x14ac:dyDescent="0.3">
      <c r="A2023" s="1">
        <v>45487</v>
      </c>
    </row>
    <row r="2024" spans="1:1" x14ac:dyDescent="0.3">
      <c r="A2024" s="1">
        <v>45488</v>
      </c>
    </row>
    <row r="2025" spans="1:1" x14ac:dyDescent="0.3">
      <c r="A2025" s="1">
        <v>45489</v>
      </c>
    </row>
    <row r="2026" spans="1:1" x14ac:dyDescent="0.3">
      <c r="A2026" s="1">
        <v>45490</v>
      </c>
    </row>
    <row r="2027" spans="1:1" x14ac:dyDescent="0.3">
      <c r="A2027" s="1">
        <v>45491</v>
      </c>
    </row>
    <row r="2028" spans="1:1" x14ac:dyDescent="0.3">
      <c r="A2028" s="1">
        <v>45492</v>
      </c>
    </row>
    <row r="2029" spans="1:1" x14ac:dyDescent="0.3">
      <c r="A2029" s="1">
        <v>45493</v>
      </c>
    </row>
    <row r="2030" spans="1:1" x14ac:dyDescent="0.3">
      <c r="A2030" s="1">
        <v>45494</v>
      </c>
    </row>
    <row r="2031" spans="1:1" x14ac:dyDescent="0.3">
      <c r="A2031" s="1">
        <v>45495</v>
      </c>
    </row>
    <row r="2032" spans="1:1" x14ac:dyDescent="0.3">
      <c r="A2032" s="1">
        <v>45496</v>
      </c>
    </row>
    <row r="2033" spans="1:1" x14ac:dyDescent="0.3">
      <c r="A2033" s="1">
        <v>45497</v>
      </c>
    </row>
    <row r="2034" spans="1:1" x14ac:dyDescent="0.3">
      <c r="A2034" s="1">
        <v>45498</v>
      </c>
    </row>
    <row r="2035" spans="1:1" x14ac:dyDescent="0.3">
      <c r="A2035" s="1">
        <v>45499</v>
      </c>
    </row>
    <row r="2036" spans="1:1" x14ac:dyDescent="0.3">
      <c r="A2036" s="1">
        <v>45500</v>
      </c>
    </row>
    <row r="2037" spans="1:1" x14ac:dyDescent="0.3">
      <c r="A2037" s="1">
        <v>45501</v>
      </c>
    </row>
    <row r="2038" spans="1:1" x14ac:dyDescent="0.3">
      <c r="A2038" s="1">
        <v>45502</v>
      </c>
    </row>
    <row r="2039" spans="1:1" x14ac:dyDescent="0.3">
      <c r="A2039" s="1">
        <v>45503</v>
      </c>
    </row>
    <row r="2040" spans="1:1" x14ac:dyDescent="0.3">
      <c r="A2040" s="1">
        <v>45504</v>
      </c>
    </row>
    <row r="2041" spans="1:1" x14ac:dyDescent="0.3">
      <c r="A2041" s="1">
        <v>45505</v>
      </c>
    </row>
    <row r="2042" spans="1:1" x14ac:dyDescent="0.3">
      <c r="A2042" s="1">
        <v>45506</v>
      </c>
    </row>
    <row r="2043" spans="1:1" x14ac:dyDescent="0.3">
      <c r="A2043" s="1">
        <v>45507</v>
      </c>
    </row>
    <row r="2044" spans="1:1" x14ac:dyDescent="0.3">
      <c r="A2044" s="1">
        <v>45508</v>
      </c>
    </row>
    <row r="2045" spans="1:1" x14ac:dyDescent="0.3">
      <c r="A2045" s="1">
        <v>45509</v>
      </c>
    </row>
    <row r="2046" spans="1:1" x14ac:dyDescent="0.3">
      <c r="A2046" s="1">
        <v>45510</v>
      </c>
    </row>
    <row r="2047" spans="1:1" x14ac:dyDescent="0.3">
      <c r="A2047" s="1">
        <v>45511</v>
      </c>
    </row>
    <row r="2048" spans="1:1" x14ac:dyDescent="0.3">
      <c r="A2048" s="1">
        <v>45512</v>
      </c>
    </row>
    <row r="2049" spans="1:1" x14ac:dyDescent="0.3">
      <c r="A2049" s="1">
        <v>45513</v>
      </c>
    </row>
    <row r="2050" spans="1:1" x14ac:dyDescent="0.3">
      <c r="A2050" s="1">
        <v>45514</v>
      </c>
    </row>
    <row r="2051" spans="1:1" x14ac:dyDescent="0.3">
      <c r="A2051" s="1">
        <v>45515</v>
      </c>
    </row>
    <row r="2052" spans="1:1" x14ac:dyDescent="0.3">
      <c r="A2052" s="1">
        <v>45516</v>
      </c>
    </row>
    <row r="2053" spans="1:1" x14ac:dyDescent="0.3">
      <c r="A2053" s="1">
        <v>45517</v>
      </c>
    </row>
    <row r="2054" spans="1:1" x14ac:dyDescent="0.3">
      <c r="A2054" s="1">
        <v>45518</v>
      </c>
    </row>
    <row r="2055" spans="1:1" x14ac:dyDescent="0.3">
      <c r="A2055" s="1">
        <v>45519</v>
      </c>
    </row>
    <row r="2056" spans="1:1" x14ac:dyDescent="0.3">
      <c r="A2056" s="1">
        <v>45520</v>
      </c>
    </row>
    <row r="2057" spans="1:1" x14ac:dyDescent="0.3">
      <c r="A2057" s="1">
        <v>45521</v>
      </c>
    </row>
    <row r="2058" spans="1:1" x14ac:dyDescent="0.3">
      <c r="A2058" s="1">
        <v>45522</v>
      </c>
    </row>
    <row r="2059" spans="1:1" x14ac:dyDescent="0.3">
      <c r="A2059" s="1">
        <v>45523</v>
      </c>
    </row>
    <row r="2060" spans="1:1" x14ac:dyDescent="0.3">
      <c r="A2060" s="1">
        <v>45524</v>
      </c>
    </row>
    <row r="2061" spans="1:1" x14ac:dyDescent="0.3">
      <c r="A2061" s="1">
        <v>45525</v>
      </c>
    </row>
    <row r="2062" spans="1:1" x14ac:dyDescent="0.3">
      <c r="A2062" s="1">
        <v>45526</v>
      </c>
    </row>
    <row r="2063" spans="1:1" x14ac:dyDescent="0.3">
      <c r="A2063" s="1">
        <v>45527</v>
      </c>
    </row>
    <row r="2064" spans="1:1" x14ac:dyDescent="0.3">
      <c r="A2064" s="1">
        <v>45528</v>
      </c>
    </row>
    <row r="2065" spans="1:1" x14ac:dyDescent="0.3">
      <c r="A2065" s="1">
        <v>45529</v>
      </c>
    </row>
    <row r="2066" spans="1:1" x14ac:dyDescent="0.3">
      <c r="A2066" s="1">
        <v>45530</v>
      </c>
    </row>
    <row r="2067" spans="1:1" x14ac:dyDescent="0.3">
      <c r="A2067" s="1">
        <v>45531</v>
      </c>
    </row>
    <row r="2068" spans="1:1" x14ac:dyDescent="0.3">
      <c r="A2068" s="1">
        <v>45532</v>
      </c>
    </row>
    <row r="2069" spans="1:1" x14ac:dyDescent="0.3">
      <c r="A2069" s="1">
        <v>45533</v>
      </c>
    </row>
    <row r="2070" spans="1:1" x14ac:dyDescent="0.3">
      <c r="A2070" s="1">
        <v>45534</v>
      </c>
    </row>
    <row r="2071" spans="1:1" x14ac:dyDescent="0.3">
      <c r="A2071" s="1">
        <v>45535</v>
      </c>
    </row>
    <row r="2072" spans="1:1" x14ac:dyDescent="0.3">
      <c r="A2072" s="1">
        <v>45536</v>
      </c>
    </row>
    <row r="2073" spans="1:1" x14ac:dyDescent="0.3">
      <c r="A2073" s="1">
        <v>45537</v>
      </c>
    </row>
    <row r="2074" spans="1:1" x14ac:dyDescent="0.3">
      <c r="A2074" s="1">
        <v>45538</v>
      </c>
    </row>
    <row r="2075" spans="1:1" x14ac:dyDescent="0.3">
      <c r="A2075" s="1">
        <v>45539</v>
      </c>
    </row>
    <row r="2076" spans="1:1" x14ac:dyDescent="0.3">
      <c r="A2076" s="1">
        <v>45540</v>
      </c>
    </row>
    <row r="2077" spans="1:1" x14ac:dyDescent="0.3">
      <c r="A2077" s="1">
        <v>45541</v>
      </c>
    </row>
    <row r="2078" spans="1:1" x14ac:dyDescent="0.3">
      <c r="A2078" s="1">
        <v>45542</v>
      </c>
    </row>
    <row r="2079" spans="1:1" x14ac:dyDescent="0.3">
      <c r="A2079" s="1">
        <v>45543</v>
      </c>
    </row>
    <row r="2080" spans="1:1" x14ac:dyDescent="0.3">
      <c r="A2080" s="1">
        <v>45544</v>
      </c>
    </row>
    <row r="2081" spans="1:1" x14ac:dyDescent="0.3">
      <c r="A2081" s="1">
        <v>45545</v>
      </c>
    </row>
    <row r="2082" spans="1:1" x14ac:dyDescent="0.3">
      <c r="A2082" s="1">
        <v>45546</v>
      </c>
    </row>
    <row r="2083" spans="1:1" x14ac:dyDescent="0.3">
      <c r="A2083" s="1">
        <v>45547</v>
      </c>
    </row>
    <row r="2084" spans="1:1" x14ac:dyDescent="0.3">
      <c r="A2084" s="1">
        <v>45548</v>
      </c>
    </row>
    <row r="2085" spans="1:1" x14ac:dyDescent="0.3">
      <c r="A2085" s="1">
        <v>45549</v>
      </c>
    </row>
    <row r="2086" spans="1:1" x14ac:dyDescent="0.3">
      <c r="A2086" s="1">
        <v>45550</v>
      </c>
    </row>
    <row r="2087" spans="1:1" x14ac:dyDescent="0.3">
      <c r="A2087" s="1">
        <v>45551</v>
      </c>
    </row>
    <row r="2088" spans="1:1" x14ac:dyDescent="0.3">
      <c r="A2088" s="1">
        <v>45552</v>
      </c>
    </row>
    <row r="2089" spans="1:1" x14ac:dyDescent="0.3">
      <c r="A2089" s="1">
        <v>45553</v>
      </c>
    </row>
    <row r="2090" spans="1:1" x14ac:dyDescent="0.3">
      <c r="A2090" s="1">
        <v>45554</v>
      </c>
    </row>
    <row r="2091" spans="1:1" x14ac:dyDescent="0.3">
      <c r="A2091" s="1">
        <v>45555</v>
      </c>
    </row>
    <row r="2092" spans="1:1" x14ac:dyDescent="0.3">
      <c r="A2092" s="1">
        <v>45556</v>
      </c>
    </row>
    <row r="2093" spans="1:1" x14ac:dyDescent="0.3">
      <c r="A2093" s="1">
        <v>45557</v>
      </c>
    </row>
    <row r="2094" spans="1:1" x14ac:dyDescent="0.3">
      <c r="A2094" s="1">
        <v>45558</v>
      </c>
    </row>
    <row r="2095" spans="1:1" x14ac:dyDescent="0.3">
      <c r="A2095" s="1">
        <v>45559</v>
      </c>
    </row>
    <row r="2096" spans="1:1" x14ac:dyDescent="0.3">
      <c r="A2096" s="1">
        <v>45560</v>
      </c>
    </row>
    <row r="2097" spans="1:1" x14ac:dyDescent="0.3">
      <c r="A2097" s="1">
        <v>45561</v>
      </c>
    </row>
    <row r="2098" spans="1:1" x14ac:dyDescent="0.3">
      <c r="A2098" s="1">
        <v>45562</v>
      </c>
    </row>
    <row r="2099" spans="1:1" x14ac:dyDescent="0.3">
      <c r="A2099" s="1">
        <v>45563</v>
      </c>
    </row>
    <row r="2100" spans="1:1" x14ac:dyDescent="0.3">
      <c r="A2100" s="1">
        <v>45564</v>
      </c>
    </row>
    <row r="2101" spans="1:1" x14ac:dyDescent="0.3">
      <c r="A2101" s="1">
        <v>45565</v>
      </c>
    </row>
    <row r="2102" spans="1:1" x14ac:dyDescent="0.3">
      <c r="A2102" s="1">
        <v>45566</v>
      </c>
    </row>
    <row r="2103" spans="1:1" x14ac:dyDescent="0.3">
      <c r="A2103" s="1">
        <v>45567</v>
      </c>
    </row>
    <row r="2104" spans="1:1" x14ac:dyDescent="0.3">
      <c r="A2104" s="1">
        <v>45568</v>
      </c>
    </row>
    <row r="2105" spans="1:1" x14ac:dyDescent="0.3">
      <c r="A2105" s="1">
        <v>45569</v>
      </c>
    </row>
    <row r="2106" spans="1:1" x14ac:dyDescent="0.3">
      <c r="A2106" s="1">
        <v>45570</v>
      </c>
    </row>
    <row r="2107" spans="1:1" x14ac:dyDescent="0.3">
      <c r="A2107" s="1">
        <v>45571</v>
      </c>
    </row>
    <row r="2108" spans="1:1" x14ac:dyDescent="0.3">
      <c r="A2108" s="1">
        <v>45572</v>
      </c>
    </row>
    <row r="2109" spans="1:1" x14ac:dyDescent="0.3">
      <c r="A2109" s="1">
        <v>45573</v>
      </c>
    </row>
    <row r="2110" spans="1:1" x14ac:dyDescent="0.3">
      <c r="A2110" s="1">
        <v>45574</v>
      </c>
    </row>
    <row r="2111" spans="1:1" x14ac:dyDescent="0.3">
      <c r="A2111" s="1">
        <v>45575</v>
      </c>
    </row>
    <row r="2112" spans="1:1" x14ac:dyDescent="0.3">
      <c r="A2112" s="1">
        <v>45576</v>
      </c>
    </row>
    <row r="2113" spans="1:1" x14ac:dyDescent="0.3">
      <c r="A2113" s="1">
        <v>45577</v>
      </c>
    </row>
    <row r="2114" spans="1:1" x14ac:dyDescent="0.3">
      <c r="A2114" s="1">
        <v>45578</v>
      </c>
    </row>
    <row r="2115" spans="1:1" x14ac:dyDescent="0.3">
      <c r="A2115" s="1">
        <v>45579</v>
      </c>
    </row>
    <row r="2116" spans="1:1" x14ac:dyDescent="0.3">
      <c r="A2116" s="1">
        <v>45580</v>
      </c>
    </row>
    <row r="2117" spans="1:1" x14ac:dyDescent="0.3">
      <c r="A2117" s="1">
        <v>45581</v>
      </c>
    </row>
    <row r="2118" spans="1:1" x14ac:dyDescent="0.3">
      <c r="A2118" s="1">
        <v>45582</v>
      </c>
    </row>
    <row r="2119" spans="1:1" x14ac:dyDescent="0.3">
      <c r="A2119" s="1">
        <v>45583</v>
      </c>
    </row>
    <row r="2120" spans="1:1" x14ac:dyDescent="0.3">
      <c r="A2120" s="1">
        <v>45584</v>
      </c>
    </row>
    <row r="2121" spans="1:1" x14ac:dyDescent="0.3">
      <c r="A2121" s="1">
        <v>45585</v>
      </c>
    </row>
    <row r="2122" spans="1:1" x14ac:dyDescent="0.3">
      <c r="A2122" s="1">
        <v>45586</v>
      </c>
    </row>
    <row r="2123" spans="1:1" x14ac:dyDescent="0.3">
      <c r="A2123" s="1">
        <v>45587</v>
      </c>
    </row>
    <row r="2124" spans="1:1" x14ac:dyDescent="0.3">
      <c r="A2124" s="1">
        <v>45588</v>
      </c>
    </row>
    <row r="2125" spans="1:1" x14ac:dyDescent="0.3">
      <c r="A2125" s="1">
        <v>45589</v>
      </c>
    </row>
    <row r="2126" spans="1:1" x14ac:dyDescent="0.3">
      <c r="A2126" s="1">
        <v>45590</v>
      </c>
    </row>
    <row r="2127" spans="1:1" x14ac:dyDescent="0.3">
      <c r="A2127" s="1">
        <v>45591</v>
      </c>
    </row>
    <row r="2128" spans="1:1" x14ac:dyDescent="0.3">
      <c r="A2128" s="1">
        <v>45592</v>
      </c>
    </row>
    <row r="2129" spans="1:1" x14ac:dyDescent="0.3">
      <c r="A2129" s="1">
        <v>45593</v>
      </c>
    </row>
    <row r="2130" spans="1:1" x14ac:dyDescent="0.3">
      <c r="A2130" s="1">
        <v>45594</v>
      </c>
    </row>
    <row r="2131" spans="1:1" x14ac:dyDescent="0.3">
      <c r="A2131" s="1">
        <v>45595</v>
      </c>
    </row>
    <row r="2132" spans="1:1" x14ac:dyDescent="0.3">
      <c r="A2132" s="1">
        <v>45596</v>
      </c>
    </row>
    <row r="2133" spans="1:1" x14ac:dyDescent="0.3">
      <c r="A2133" s="1">
        <v>45597</v>
      </c>
    </row>
    <row r="2134" spans="1:1" x14ac:dyDescent="0.3">
      <c r="A2134" s="1">
        <v>45598</v>
      </c>
    </row>
    <row r="2135" spans="1:1" x14ac:dyDescent="0.3">
      <c r="A2135" s="1">
        <v>45599</v>
      </c>
    </row>
    <row r="2136" spans="1:1" x14ac:dyDescent="0.3">
      <c r="A2136" s="1">
        <v>45600</v>
      </c>
    </row>
    <row r="2137" spans="1:1" x14ac:dyDescent="0.3">
      <c r="A2137" s="1">
        <v>45601</v>
      </c>
    </row>
    <row r="2138" spans="1:1" x14ac:dyDescent="0.3">
      <c r="A2138" s="1">
        <v>45602</v>
      </c>
    </row>
    <row r="2139" spans="1:1" x14ac:dyDescent="0.3">
      <c r="A2139" s="1">
        <v>45603</v>
      </c>
    </row>
    <row r="2140" spans="1:1" x14ac:dyDescent="0.3">
      <c r="A2140" s="1">
        <v>45604</v>
      </c>
    </row>
    <row r="2141" spans="1:1" x14ac:dyDescent="0.3">
      <c r="A2141" s="1">
        <v>45605</v>
      </c>
    </row>
    <row r="2142" spans="1:1" x14ac:dyDescent="0.3">
      <c r="A2142" s="1">
        <v>45606</v>
      </c>
    </row>
    <row r="2143" spans="1:1" x14ac:dyDescent="0.3">
      <c r="A2143" s="1">
        <v>45607</v>
      </c>
    </row>
    <row r="2144" spans="1:1" x14ac:dyDescent="0.3">
      <c r="A2144" s="1">
        <v>45608</v>
      </c>
    </row>
    <row r="2145" spans="1:1" x14ac:dyDescent="0.3">
      <c r="A2145" s="1">
        <v>45609</v>
      </c>
    </row>
    <row r="2146" spans="1:1" x14ac:dyDescent="0.3">
      <c r="A2146" s="1">
        <v>45610</v>
      </c>
    </row>
    <row r="2147" spans="1:1" x14ac:dyDescent="0.3">
      <c r="A2147" s="1">
        <v>45611</v>
      </c>
    </row>
    <row r="2148" spans="1:1" x14ac:dyDescent="0.3">
      <c r="A2148" s="1">
        <v>45612</v>
      </c>
    </row>
    <row r="2149" spans="1:1" x14ac:dyDescent="0.3">
      <c r="A2149" s="1">
        <v>45613</v>
      </c>
    </row>
    <row r="2150" spans="1:1" x14ac:dyDescent="0.3">
      <c r="A2150" s="1">
        <v>45614</v>
      </c>
    </row>
    <row r="2151" spans="1:1" x14ac:dyDescent="0.3">
      <c r="A2151" s="1">
        <v>45615</v>
      </c>
    </row>
    <row r="2152" spans="1:1" x14ac:dyDescent="0.3">
      <c r="A2152" s="1">
        <v>45616</v>
      </c>
    </row>
    <row r="2153" spans="1:1" x14ac:dyDescent="0.3">
      <c r="A2153" s="1">
        <v>45617</v>
      </c>
    </row>
    <row r="2154" spans="1:1" x14ac:dyDescent="0.3">
      <c r="A2154" s="1">
        <v>45618</v>
      </c>
    </row>
    <row r="2155" spans="1:1" x14ac:dyDescent="0.3">
      <c r="A2155" s="1">
        <v>45619</v>
      </c>
    </row>
    <row r="2156" spans="1:1" x14ac:dyDescent="0.3">
      <c r="A2156" s="1">
        <v>45620</v>
      </c>
    </row>
    <row r="2157" spans="1:1" x14ac:dyDescent="0.3">
      <c r="A2157" s="1">
        <v>45621</v>
      </c>
    </row>
    <row r="2158" spans="1:1" x14ac:dyDescent="0.3">
      <c r="A2158" s="1">
        <v>45622</v>
      </c>
    </row>
    <row r="2159" spans="1:1" x14ac:dyDescent="0.3">
      <c r="A2159" s="1">
        <v>45623</v>
      </c>
    </row>
    <row r="2160" spans="1:1" x14ac:dyDescent="0.3">
      <c r="A2160" s="1">
        <v>45624</v>
      </c>
    </row>
    <row r="2161" spans="1:1" x14ac:dyDescent="0.3">
      <c r="A2161" s="1">
        <v>45625</v>
      </c>
    </row>
    <row r="2162" spans="1:1" x14ac:dyDescent="0.3">
      <c r="A2162" s="1">
        <v>45626</v>
      </c>
    </row>
    <row r="2163" spans="1:1" x14ac:dyDescent="0.3">
      <c r="A2163" s="1">
        <v>45627</v>
      </c>
    </row>
    <row r="2164" spans="1:1" x14ac:dyDescent="0.3">
      <c r="A2164" s="1">
        <v>45628</v>
      </c>
    </row>
    <row r="2165" spans="1:1" x14ac:dyDescent="0.3">
      <c r="A2165" s="1">
        <v>45629</v>
      </c>
    </row>
    <row r="2166" spans="1:1" x14ac:dyDescent="0.3">
      <c r="A2166" s="1">
        <v>45630</v>
      </c>
    </row>
    <row r="2167" spans="1:1" x14ac:dyDescent="0.3">
      <c r="A2167" s="1">
        <v>45631</v>
      </c>
    </row>
    <row r="2168" spans="1:1" x14ac:dyDescent="0.3">
      <c r="A2168" s="1">
        <v>45632</v>
      </c>
    </row>
    <row r="2169" spans="1:1" x14ac:dyDescent="0.3">
      <c r="A2169" s="1">
        <v>45633</v>
      </c>
    </row>
    <row r="2170" spans="1:1" x14ac:dyDescent="0.3">
      <c r="A2170" s="1">
        <v>45634</v>
      </c>
    </row>
    <row r="2171" spans="1:1" x14ac:dyDescent="0.3">
      <c r="A2171" s="1">
        <v>45635</v>
      </c>
    </row>
    <row r="2172" spans="1:1" x14ac:dyDescent="0.3">
      <c r="A2172" s="1">
        <v>45636</v>
      </c>
    </row>
    <row r="2173" spans="1:1" x14ac:dyDescent="0.3">
      <c r="A2173" s="1">
        <v>45637</v>
      </c>
    </row>
    <row r="2174" spans="1:1" x14ac:dyDescent="0.3">
      <c r="A2174" s="1">
        <v>45638</v>
      </c>
    </row>
    <row r="2175" spans="1:1" x14ac:dyDescent="0.3">
      <c r="A2175" s="1">
        <v>45639</v>
      </c>
    </row>
    <row r="2176" spans="1:1" x14ac:dyDescent="0.3">
      <c r="A2176" s="1">
        <v>45640</v>
      </c>
    </row>
    <row r="2177" spans="1:1" x14ac:dyDescent="0.3">
      <c r="A2177" s="1">
        <v>45641</v>
      </c>
    </row>
    <row r="2178" spans="1:1" x14ac:dyDescent="0.3">
      <c r="A2178" s="1">
        <v>45642</v>
      </c>
    </row>
    <row r="2179" spans="1:1" x14ac:dyDescent="0.3">
      <c r="A2179" s="1">
        <v>45643</v>
      </c>
    </row>
    <row r="2180" spans="1:1" x14ac:dyDescent="0.3">
      <c r="A2180" s="1">
        <v>45644</v>
      </c>
    </row>
    <row r="2181" spans="1:1" x14ac:dyDescent="0.3">
      <c r="A2181" s="1">
        <v>45645</v>
      </c>
    </row>
    <row r="2182" spans="1:1" x14ac:dyDescent="0.3">
      <c r="A2182" s="1">
        <v>45646</v>
      </c>
    </row>
    <row r="2183" spans="1:1" x14ac:dyDescent="0.3">
      <c r="A2183" s="1">
        <v>45647</v>
      </c>
    </row>
    <row r="2184" spans="1:1" x14ac:dyDescent="0.3">
      <c r="A2184" s="1">
        <v>45648</v>
      </c>
    </row>
    <row r="2185" spans="1:1" x14ac:dyDescent="0.3">
      <c r="A2185" s="1">
        <v>45649</v>
      </c>
    </row>
    <row r="2186" spans="1:1" x14ac:dyDescent="0.3">
      <c r="A2186" s="1">
        <v>45650</v>
      </c>
    </row>
    <row r="2187" spans="1:1" x14ac:dyDescent="0.3">
      <c r="A2187" s="1">
        <v>45651</v>
      </c>
    </row>
    <row r="2188" spans="1:1" x14ac:dyDescent="0.3">
      <c r="A2188" s="1">
        <v>45652</v>
      </c>
    </row>
    <row r="2189" spans="1:1" x14ac:dyDescent="0.3">
      <c r="A2189" s="1">
        <v>45653</v>
      </c>
    </row>
    <row r="2190" spans="1:1" x14ac:dyDescent="0.3">
      <c r="A2190" s="1">
        <v>45654</v>
      </c>
    </row>
    <row r="2191" spans="1:1" x14ac:dyDescent="0.3">
      <c r="A2191" s="1">
        <v>45655</v>
      </c>
    </row>
    <row r="2192" spans="1:1" x14ac:dyDescent="0.3">
      <c r="A2192" s="1">
        <v>45656</v>
      </c>
    </row>
    <row r="2193" spans="1:1" x14ac:dyDescent="0.3">
      <c r="A2193" s="1">
        <v>45657</v>
      </c>
    </row>
    <row r="2194" spans="1:1" x14ac:dyDescent="0.3">
      <c r="A2194" s="1">
        <v>45658</v>
      </c>
    </row>
    <row r="2195" spans="1:1" x14ac:dyDescent="0.3">
      <c r="A2195" s="1">
        <v>45659</v>
      </c>
    </row>
    <row r="2196" spans="1:1" x14ac:dyDescent="0.3">
      <c r="A2196" s="1">
        <v>45660</v>
      </c>
    </row>
    <row r="2197" spans="1:1" x14ac:dyDescent="0.3">
      <c r="A2197" s="1">
        <v>45661</v>
      </c>
    </row>
    <row r="2198" spans="1:1" x14ac:dyDescent="0.3">
      <c r="A2198" s="1">
        <v>45662</v>
      </c>
    </row>
    <row r="2199" spans="1:1" x14ac:dyDescent="0.3">
      <c r="A2199" s="1">
        <v>45663</v>
      </c>
    </row>
    <row r="2200" spans="1:1" x14ac:dyDescent="0.3">
      <c r="A2200" s="1">
        <v>45664</v>
      </c>
    </row>
    <row r="2201" spans="1:1" x14ac:dyDescent="0.3">
      <c r="A2201" s="1">
        <v>45665</v>
      </c>
    </row>
    <row r="2202" spans="1:1" x14ac:dyDescent="0.3">
      <c r="A2202" s="1">
        <v>45666</v>
      </c>
    </row>
    <row r="2203" spans="1:1" x14ac:dyDescent="0.3">
      <c r="A2203" s="1">
        <v>45667</v>
      </c>
    </row>
    <row r="2204" spans="1:1" x14ac:dyDescent="0.3">
      <c r="A2204" s="1">
        <v>45668</v>
      </c>
    </row>
    <row r="2205" spans="1:1" x14ac:dyDescent="0.3">
      <c r="A2205" s="1">
        <v>45669</v>
      </c>
    </row>
    <row r="2206" spans="1:1" x14ac:dyDescent="0.3">
      <c r="A2206" s="1">
        <v>45670</v>
      </c>
    </row>
    <row r="2207" spans="1:1" x14ac:dyDescent="0.3">
      <c r="A2207" s="1">
        <v>45671</v>
      </c>
    </row>
    <row r="2208" spans="1:1" x14ac:dyDescent="0.3">
      <c r="A2208" s="1">
        <v>45672</v>
      </c>
    </row>
    <row r="2209" spans="1:1" x14ac:dyDescent="0.3">
      <c r="A2209" s="1">
        <v>45673</v>
      </c>
    </row>
    <row r="2210" spans="1:1" x14ac:dyDescent="0.3">
      <c r="A2210" s="1">
        <v>45674</v>
      </c>
    </row>
    <row r="2211" spans="1:1" x14ac:dyDescent="0.3">
      <c r="A2211" s="1">
        <v>45675</v>
      </c>
    </row>
    <row r="2212" spans="1:1" x14ac:dyDescent="0.3">
      <c r="A2212" s="1">
        <v>45676</v>
      </c>
    </row>
    <row r="2213" spans="1:1" x14ac:dyDescent="0.3">
      <c r="A2213" s="1">
        <v>45677</v>
      </c>
    </row>
    <row r="2214" spans="1:1" x14ac:dyDescent="0.3">
      <c r="A2214" s="1">
        <v>45678</v>
      </c>
    </row>
    <row r="2215" spans="1:1" x14ac:dyDescent="0.3">
      <c r="A2215" s="1">
        <v>45679</v>
      </c>
    </row>
    <row r="2216" spans="1:1" x14ac:dyDescent="0.3">
      <c r="A2216" s="1">
        <v>45680</v>
      </c>
    </row>
    <row r="2217" spans="1:1" x14ac:dyDescent="0.3">
      <c r="A2217" s="1">
        <v>45681</v>
      </c>
    </row>
    <row r="2218" spans="1:1" x14ac:dyDescent="0.3">
      <c r="A2218" s="1">
        <v>45682</v>
      </c>
    </row>
    <row r="2219" spans="1:1" x14ac:dyDescent="0.3">
      <c r="A2219" s="1">
        <v>45683</v>
      </c>
    </row>
    <row r="2220" spans="1:1" x14ac:dyDescent="0.3">
      <c r="A2220" s="1">
        <v>45684</v>
      </c>
    </row>
    <row r="2221" spans="1:1" x14ac:dyDescent="0.3">
      <c r="A2221" s="1">
        <v>45685</v>
      </c>
    </row>
    <row r="2222" spans="1:1" x14ac:dyDescent="0.3">
      <c r="A2222" s="1">
        <v>45686</v>
      </c>
    </row>
    <row r="2223" spans="1:1" x14ac:dyDescent="0.3">
      <c r="A2223" s="1">
        <v>45687</v>
      </c>
    </row>
    <row r="2224" spans="1:1" x14ac:dyDescent="0.3">
      <c r="A2224" s="1">
        <v>45688</v>
      </c>
    </row>
    <row r="2225" spans="1:1" x14ac:dyDescent="0.3">
      <c r="A2225" s="1">
        <v>45689</v>
      </c>
    </row>
    <row r="2226" spans="1:1" x14ac:dyDescent="0.3">
      <c r="A2226" s="1">
        <v>45690</v>
      </c>
    </row>
    <row r="2227" spans="1:1" x14ac:dyDescent="0.3">
      <c r="A2227" s="1">
        <v>45691</v>
      </c>
    </row>
    <row r="2228" spans="1:1" x14ac:dyDescent="0.3">
      <c r="A2228" s="1">
        <v>45692</v>
      </c>
    </row>
    <row r="2229" spans="1:1" x14ac:dyDescent="0.3">
      <c r="A2229" s="1">
        <v>45693</v>
      </c>
    </row>
    <row r="2230" spans="1:1" x14ac:dyDescent="0.3">
      <c r="A2230" s="1">
        <v>45694</v>
      </c>
    </row>
    <row r="2231" spans="1:1" x14ac:dyDescent="0.3">
      <c r="A2231" s="1">
        <v>45695</v>
      </c>
    </row>
    <row r="2232" spans="1:1" x14ac:dyDescent="0.3">
      <c r="A2232" s="1">
        <v>45696</v>
      </c>
    </row>
    <row r="2233" spans="1:1" x14ac:dyDescent="0.3">
      <c r="A2233" s="1">
        <v>45697</v>
      </c>
    </row>
    <row r="2234" spans="1:1" x14ac:dyDescent="0.3">
      <c r="A2234" s="1">
        <v>45698</v>
      </c>
    </row>
    <row r="2235" spans="1:1" x14ac:dyDescent="0.3">
      <c r="A2235" s="1">
        <v>45699</v>
      </c>
    </row>
    <row r="2236" spans="1:1" x14ac:dyDescent="0.3">
      <c r="A2236" s="1">
        <v>45700</v>
      </c>
    </row>
    <row r="2237" spans="1:1" x14ac:dyDescent="0.3">
      <c r="A2237" s="1">
        <v>45701</v>
      </c>
    </row>
    <row r="2238" spans="1:1" x14ac:dyDescent="0.3">
      <c r="A2238" s="1">
        <v>45702</v>
      </c>
    </row>
    <row r="2239" spans="1:1" x14ac:dyDescent="0.3">
      <c r="A2239" s="1">
        <v>45703</v>
      </c>
    </row>
    <row r="2240" spans="1:1" x14ac:dyDescent="0.3">
      <c r="A2240" s="1">
        <v>45704</v>
      </c>
    </row>
    <row r="2241" spans="1:1" x14ac:dyDescent="0.3">
      <c r="A2241" s="1">
        <v>45705</v>
      </c>
    </row>
    <row r="2242" spans="1:1" x14ac:dyDescent="0.3">
      <c r="A2242" s="1">
        <v>45706</v>
      </c>
    </row>
    <row r="2243" spans="1:1" x14ac:dyDescent="0.3">
      <c r="A2243" s="1">
        <v>45707</v>
      </c>
    </row>
    <row r="2244" spans="1:1" x14ac:dyDescent="0.3">
      <c r="A2244" s="1">
        <v>45708</v>
      </c>
    </row>
    <row r="2245" spans="1:1" x14ac:dyDescent="0.3">
      <c r="A2245" s="1">
        <v>45709</v>
      </c>
    </row>
    <row r="2246" spans="1:1" x14ac:dyDescent="0.3">
      <c r="A2246" s="1">
        <v>45710</v>
      </c>
    </row>
    <row r="2247" spans="1:1" x14ac:dyDescent="0.3">
      <c r="A2247" s="1">
        <v>45711</v>
      </c>
    </row>
    <row r="2248" spans="1:1" x14ac:dyDescent="0.3">
      <c r="A2248" s="1">
        <v>45712</v>
      </c>
    </row>
    <row r="2249" spans="1:1" x14ac:dyDescent="0.3">
      <c r="A2249" s="1">
        <v>45713</v>
      </c>
    </row>
    <row r="2250" spans="1:1" x14ac:dyDescent="0.3">
      <c r="A2250" s="1">
        <v>45714</v>
      </c>
    </row>
    <row r="2251" spans="1:1" x14ac:dyDescent="0.3">
      <c r="A2251" s="1">
        <v>45715</v>
      </c>
    </row>
    <row r="2252" spans="1:1" x14ac:dyDescent="0.3">
      <c r="A2252" s="1">
        <v>45716</v>
      </c>
    </row>
    <row r="2253" spans="1:1" x14ac:dyDescent="0.3">
      <c r="A2253" s="1">
        <v>45717</v>
      </c>
    </row>
    <row r="2254" spans="1:1" x14ac:dyDescent="0.3">
      <c r="A2254" s="1">
        <v>45718</v>
      </c>
    </row>
    <row r="2255" spans="1:1" x14ac:dyDescent="0.3">
      <c r="A2255" s="1">
        <v>45719</v>
      </c>
    </row>
    <row r="2256" spans="1:1" x14ac:dyDescent="0.3">
      <c r="A2256" s="1">
        <v>45720</v>
      </c>
    </row>
    <row r="2257" spans="1:1" x14ac:dyDescent="0.3">
      <c r="A2257" s="1">
        <v>45721</v>
      </c>
    </row>
    <row r="2258" spans="1:1" x14ac:dyDescent="0.3">
      <c r="A2258" s="1">
        <v>45722</v>
      </c>
    </row>
    <row r="2259" spans="1:1" x14ac:dyDescent="0.3">
      <c r="A2259" s="1">
        <v>45723</v>
      </c>
    </row>
    <row r="2260" spans="1:1" x14ac:dyDescent="0.3">
      <c r="A2260" s="1">
        <v>45724</v>
      </c>
    </row>
    <row r="2261" spans="1:1" x14ac:dyDescent="0.3">
      <c r="A2261" s="1">
        <v>45725</v>
      </c>
    </row>
    <row r="2262" spans="1:1" x14ac:dyDescent="0.3">
      <c r="A2262" s="1">
        <v>45726</v>
      </c>
    </row>
    <row r="2263" spans="1:1" x14ac:dyDescent="0.3">
      <c r="A2263" s="1">
        <v>45727</v>
      </c>
    </row>
    <row r="2264" spans="1:1" x14ac:dyDescent="0.3">
      <c r="A2264" s="1">
        <v>45728</v>
      </c>
    </row>
    <row r="2265" spans="1:1" x14ac:dyDescent="0.3">
      <c r="A2265" s="1">
        <v>45729</v>
      </c>
    </row>
    <row r="2266" spans="1:1" x14ac:dyDescent="0.3">
      <c r="A2266" s="1">
        <v>45730</v>
      </c>
    </row>
    <row r="2267" spans="1:1" x14ac:dyDescent="0.3">
      <c r="A2267" s="1">
        <v>45731</v>
      </c>
    </row>
    <row r="2268" spans="1:1" x14ac:dyDescent="0.3">
      <c r="A2268" s="1">
        <v>45732</v>
      </c>
    </row>
    <row r="2269" spans="1:1" x14ac:dyDescent="0.3">
      <c r="A2269" s="1">
        <v>45733</v>
      </c>
    </row>
    <row r="2270" spans="1:1" x14ac:dyDescent="0.3">
      <c r="A2270" s="1">
        <v>45734</v>
      </c>
    </row>
    <row r="2271" spans="1:1" x14ac:dyDescent="0.3">
      <c r="A2271" s="1">
        <v>45735</v>
      </c>
    </row>
    <row r="2272" spans="1:1" x14ac:dyDescent="0.3">
      <c r="A2272" s="1">
        <v>45736</v>
      </c>
    </row>
    <row r="2273" spans="1:1" x14ac:dyDescent="0.3">
      <c r="A2273" s="1">
        <v>45737</v>
      </c>
    </row>
    <row r="2274" spans="1:1" x14ac:dyDescent="0.3">
      <c r="A2274" s="1">
        <v>45738</v>
      </c>
    </row>
    <row r="2275" spans="1:1" x14ac:dyDescent="0.3">
      <c r="A2275" s="1">
        <v>45739</v>
      </c>
    </row>
    <row r="2276" spans="1:1" x14ac:dyDescent="0.3">
      <c r="A2276" s="1">
        <v>45740</v>
      </c>
    </row>
    <row r="2277" spans="1:1" x14ac:dyDescent="0.3">
      <c r="A2277" s="1">
        <v>45741</v>
      </c>
    </row>
    <row r="2278" spans="1:1" x14ac:dyDescent="0.3">
      <c r="A2278" s="1">
        <v>45742</v>
      </c>
    </row>
    <row r="2279" spans="1:1" x14ac:dyDescent="0.3">
      <c r="A2279" s="1">
        <v>45743</v>
      </c>
    </row>
    <row r="2280" spans="1:1" x14ac:dyDescent="0.3">
      <c r="A2280" s="1">
        <v>45744</v>
      </c>
    </row>
    <row r="2281" spans="1:1" x14ac:dyDescent="0.3">
      <c r="A2281" s="1">
        <v>45745</v>
      </c>
    </row>
    <row r="2282" spans="1:1" x14ac:dyDescent="0.3">
      <c r="A2282" s="1">
        <v>45746</v>
      </c>
    </row>
    <row r="2283" spans="1:1" x14ac:dyDescent="0.3">
      <c r="A2283" s="1">
        <v>45747</v>
      </c>
    </row>
    <row r="2284" spans="1:1" x14ac:dyDescent="0.3">
      <c r="A2284" s="1">
        <v>45748</v>
      </c>
    </row>
    <row r="2285" spans="1:1" x14ac:dyDescent="0.3">
      <c r="A2285" s="1">
        <v>45749</v>
      </c>
    </row>
    <row r="2286" spans="1:1" x14ac:dyDescent="0.3">
      <c r="A2286" s="1">
        <v>45750</v>
      </c>
    </row>
    <row r="2287" spans="1:1" x14ac:dyDescent="0.3">
      <c r="A2287" s="1">
        <v>45751</v>
      </c>
    </row>
    <row r="2288" spans="1:1" x14ac:dyDescent="0.3">
      <c r="A2288" s="1">
        <v>45752</v>
      </c>
    </row>
    <row r="2289" spans="1:1" x14ac:dyDescent="0.3">
      <c r="A2289" s="1">
        <v>45753</v>
      </c>
    </row>
    <row r="2290" spans="1:1" x14ac:dyDescent="0.3">
      <c r="A2290" s="1">
        <v>45754</v>
      </c>
    </row>
    <row r="2291" spans="1:1" x14ac:dyDescent="0.3">
      <c r="A2291" s="1">
        <v>45755</v>
      </c>
    </row>
    <row r="2292" spans="1:1" x14ac:dyDescent="0.3">
      <c r="A2292" s="1">
        <v>45756</v>
      </c>
    </row>
    <row r="2293" spans="1:1" x14ac:dyDescent="0.3">
      <c r="A2293" s="1">
        <v>45757</v>
      </c>
    </row>
    <row r="2294" spans="1:1" x14ac:dyDescent="0.3">
      <c r="A2294" s="1">
        <v>45758</v>
      </c>
    </row>
    <row r="2295" spans="1:1" x14ac:dyDescent="0.3">
      <c r="A2295" s="1">
        <v>45759</v>
      </c>
    </row>
    <row r="2296" spans="1:1" x14ac:dyDescent="0.3">
      <c r="A2296" s="1">
        <v>45760</v>
      </c>
    </row>
    <row r="2297" spans="1:1" x14ac:dyDescent="0.3">
      <c r="A2297" s="1">
        <v>45761</v>
      </c>
    </row>
    <row r="2298" spans="1:1" x14ac:dyDescent="0.3">
      <c r="A2298" s="1">
        <v>45762</v>
      </c>
    </row>
    <row r="2299" spans="1:1" x14ac:dyDescent="0.3">
      <c r="A2299" s="1">
        <v>45763</v>
      </c>
    </row>
    <row r="2300" spans="1:1" x14ac:dyDescent="0.3">
      <c r="A2300" s="1">
        <v>45764</v>
      </c>
    </row>
    <row r="2301" spans="1:1" x14ac:dyDescent="0.3">
      <c r="A2301" s="1">
        <v>45765</v>
      </c>
    </row>
    <row r="2302" spans="1:1" x14ac:dyDescent="0.3">
      <c r="A2302" s="1">
        <v>45766</v>
      </c>
    </row>
    <row r="2303" spans="1:1" x14ac:dyDescent="0.3">
      <c r="A2303" s="1">
        <v>45767</v>
      </c>
    </row>
    <row r="2304" spans="1:1" x14ac:dyDescent="0.3">
      <c r="A2304" s="1">
        <v>45768</v>
      </c>
    </row>
    <row r="2305" spans="1:1" x14ac:dyDescent="0.3">
      <c r="A2305" s="1">
        <v>45769</v>
      </c>
    </row>
    <row r="2306" spans="1:1" x14ac:dyDescent="0.3">
      <c r="A2306" s="1">
        <v>45770</v>
      </c>
    </row>
    <row r="2307" spans="1:1" x14ac:dyDescent="0.3">
      <c r="A2307" s="1">
        <v>45771</v>
      </c>
    </row>
    <row r="2308" spans="1:1" x14ac:dyDescent="0.3">
      <c r="A2308" s="1">
        <v>45772</v>
      </c>
    </row>
    <row r="2309" spans="1:1" x14ac:dyDescent="0.3">
      <c r="A2309" s="1">
        <v>45773</v>
      </c>
    </row>
    <row r="2310" spans="1:1" x14ac:dyDescent="0.3">
      <c r="A2310" s="1">
        <v>45774</v>
      </c>
    </row>
    <row r="2311" spans="1:1" x14ac:dyDescent="0.3">
      <c r="A2311" s="1">
        <v>45775</v>
      </c>
    </row>
    <row r="2312" spans="1:1" x14ac:dyDescent="0.3">
      <c r="A2312" s="1">
        <v>45776</v>
      </c>
    </row>
    <row r="2313" spans="1:1" x14ac:dyDescent="0.3">
      <c r="A2313" s="1">
        <v>45777</v>
      </c>
    </row>
    <row r="2314" spans="1:1" x14ac:dyDescent="0.3">
      <c r="A2314" s="1">
        <v>45778</v>
      </c>
    </row>
    <row r="2315" spans="1:1" x14ac:dyDescent="0.3">
      <c r="A2315" s="1">
        <v>45779</v>
      </c>
    </row>
    <row r="2316" spans="1:1" x14ac:dyDescent="0.3">
      <c r="A2316" s="1">
        <v>45780</v>
      </c>
    </row>
    <row r="2317" spans="1:1" x14ac:dyDescent="0.3">
      <c r="A2317" s="1">
        <v>45781</v>
      </c>
    </row>
    <row r="2318" spans="1:1" x14ac:dyDescent="0.3">
      <c r="A2318" s="1">
        <v>45782</v>
      </c>
    </row>
    <row r="2319" spans="1:1" x14ac:dyDescent="0.3">
      <c r="A2319" s="1">
        <v>45783</v>
      </c>
    </row>
    <row r="2320" spans="1:1" x14ac:dyDescent="0.3">
      <c r="A2320" s="1">
        <v>45784</v>
      </c>
    </row>
    <row r="2321" spans="1:1" x14ac:dyDescent="0.3">
      <c r="A2321" s="1">
        <v>45785</v>
      </c>
    </row>
    <row r="2322" spans="1:1" x14ac:dyDescent="0.3">
      <c r="A2322" s="1">
        <v>45786</v>
      </c>
    </row>
    <row r="2323" spans="1:1" x14ac:dyDescent="0.3">
      <c r="A2323" s="1">
        <v>45787</v>
      </c>
    </row>
    <row r="2324" spans="1:1" x14ac:dyDescent="0.3">
      <c r="A2324" s="1">
        <v>45788</v>
      </c>
    </row>
    <row r="2325" spans="1:1" x14ac:dyDescent="0.3">
      <c r="A2325" s="1">
        <v>45789</v>
      </c>
    </row>
    <row r="2326" spans="1:1" x14ac:dyDescent="0.3">
      <c r="A2326" s="1">
        <v>45790</v>
      </c>
    </row>
    <row r="2327" spans="1:1" x14ac:dyDescent="0.3">
      <c r="A2327" s="1">
        <v>45791</v>
      </c>
    </row>
    <row r="2328" spans="1:1" x14ac:dyDescent="0.3">
      <c r="A2328" s="1">
        <v>45792</v>
      </c>
    </row>
    <row r="2329" spans="1:1" x14ac:dyDescent="0.3">
      <c r="A2329" s="1">
        <v>45793</v>
      </c>
    </row>
    <row r="2330" spans="1:1" x14ac:dyDescent="0.3">
      <c r="A2330" s="1">
        <v>45794</v>
      </c>
    </row>
    <row r="2331" spans="1:1" x14ac:dyDescent="0.3">
      <c r="A2331" s="1">
        <v>45795</v>
      </c>
    </row>
    <row r="2332" spans="1:1" x14ac:dyDescent="0.3">
      <c r="A2332" s="1">
        <v>45796</v>
      </c>
    </row>
    <row r="2333" spans="1:1" x14ac:dyDescent="0.3">
      <c r="A2333" s="1">
        <v>45797</v>
      </c>
    </row>
    <row r="2334" spans="1:1" x14ac:dyDescent="0.3">
      <c r="A2334" s="1">
        <v>45798</v>
      </c>
    </row>
    <row r="2335" spans="1:1" x14ac:dyDescent="0.3">
      <c r="A2335" s="1">
        <v>45799</v>
      </c>
    </row>
    <row r="2336" spans="1:1" x14ac:dyDescent="0.3">
      <c r="A2336" s="1">
        <v>45800</v>
      </c>
    </row>
    <row r="2337" spans="1:1" x14ac:dyDescent="0.3">
      <c r="A2337" s="1">
        <v>45801</v>
      </c>
    </row>
    <row r="2338" spans="1:1" x14ac:dyDescent="0.3">
      <c r="A2338" s="1">
        <v>45802</v>
      </c>
    </row>
    <row r="2339" spans="1:1" x14ac:dyDescent="0.3">
      <c r="A2339" s="1">
        <v>45803</v>
      </c>
    </row>
    <row r="2340" spans="1:1" x14ac:dyDescent="0.3">
      <c r="A2340" s="1">
        <v>45804</v>
      </c>
    </row>
    <row r="2341" spans="1:1" x14ac:dyDescent="0.3">
      <c r="A2341" s="1">
        <v>45805</v>
      </c>
    </row>
    <row r="2342" spans="1:1" x14ac:dyDescent="0.3">
      <c r="A2342" s="1">
        <v>45806</v>
      </c>
    </row>
    <row r="2343" spans="1:1" x14ac:dyDescent="0.3">
      <c r="A2343" s="1">
        <v>45807</v>
      </c>
    </row>
    <row r="2344" spans="1:1" x14ac:dyDescent="0.3">
      <c r="A2344" s="1">
        <v>45808</v>
      </c>
    </row>
    <row r="2345" spans="1:1" x14ac:dyDescent="0.3">
      <c r="A2345" s="1">
        <v>45809</v>
      </c>
    </row>
    <row r="2346" spans="1:1" x14ac:dyDescent="0.3">
      <c r="A2346" s="1">
        <v>45810</v>
      </c>
    </row>
    <row r="2347" spans="1:1" x14ac:dyDescent="0.3">
      <c r="A2347" s="1">
        <v>45811</v>
      </c>
    </row>
    <row r="2348" spans="1:1" x14ac:dyDescent="0.3">
      <c r="A2348" s="1">
        <v>45812</v>
      </c>
    </row>
    <row r="2349" spans="1:1" x14ac:dyDescent="0.3">
      <c r="A2349" s="1">
        <v>45813</v>
      </c>
    </row>
    <row r="2350" spans="1:1" x14ac:dyDescent="0.3">
      <c r="A2350" s="1">
        <v>45814</v>
      </c>
    </row>
    <row r="2351" spans="1:1" x14ac:dyDescent="0.3">
      <c r="A2351" s="1">
        <v>45815</v>
      </c>
    </row>
    <row r="2352" spans="1:1" x14ac:dyDescent="0.3">
      <c r="A2352" s="1">
        <v>45816</v>
      </c>
    </row>
    <row r="2353" spans="1:1" x14ac:dyDescent="0.3">
      <c r="A2353" s="1">
        <v>45817</v>
      </c>
    </row>
    <row r="2354" spans="1:1" x14ac:dyDescent="0.3">
      <c r="A2354" s="1">
        <v>45818</v>
      </c>
    </row>
    <row r="2355" spans="1:1" x14ac:dyDescent="0.3">
      <c r="A2355" s="1">
        <v>45819</v>
      </c>
    </row>
    <row r="2356" spans="1:1" x14ac:dyDescent="0.3">
      <c r="A2356" s="1">
        <v>45820</v>
      </c>
    </row>
    <row r="2357" spans="1:1" x14ac:dyDescent="0.3">
      <c r="A2357" s="1">
        <v>45821</v>
      </c>
    </row>
    <row r="2358" spans="1:1" x14ac:dyDescent="0.3">
      <c r="A2358" s="1">
        <v>45822</v>
      </c>
    </row>
    <row r="2359" spans="1:1" x14ac:dyDescent="0.3">
      <c r="A2359" s="1">
        <v>45823</v>
      </c>
    </row>
    <row r="2360" spans="1:1" x14ac:dyDescent="0.3">
      <c r="A2360" s="1">
        <v>45824</v>
      </c>
    </row>
    <row r="2361" spans="1:1" x14ac:dyDescent="0.3">
      <c r="A2361" s="1">
        <v>45825</v>
      </c>
    </row>
    <row r="2362" spans="1:1" x14ac:dyDescent="0.3">
      <c r="A2362" s="1">
        <v>45826</v>
      </c>
    </row>
    <row r="2363" spans="1:1" x14ac:dyDescent="0.3">
      <c r="A2363" s="1">
        <v>45827</v>
      </c>
    </row>
    <row r="2364" spans="1:1" x14ac:dyDescent="0.3">
      <c r="A2364" s="1">
        <v>45828</v>
      </c>
    </row>
    <row r="2365" spans="1:1" x14ac:dyDescent="0.3">
      <c r="A2365" s="1">
        <v>45829</v>
      </c>
    </row>
    <row r="2366" spans="1:1" x14ac:dyDescent="0.3">
      <c r="A2366" s="1">
        <v>45830</v>
      </c>
    </row>
    <row r="2367" spans="1:1" x14ac:dyDescent="0.3">
      <c r="A2367" s="1">
        <v>45831</v>
      </c>
    </row>
    <row r="2368" spans="1:1" x14ac:dyDescent="0.3">
      <c r="A2368" s="1">
        <v>45832</v>
      </c>
    </row>
    <row r="2369" spans="1:1" x14ac:dyDescent="0.3">
      <c r="A2369" s="1">
        <v>45833</v>
      </c>
    </row>
    <row r="2370" spans="1:1" x14ac:dyDescent="0.3">
      <c r="A2370" s="1">
        <v>45834</v>
      </c>
    </row>
    <row r="2371" spans="1:1" x14ac:dyDescent="0.3">
      <c r="A2371" s="1">
        <v>45835</v>
      </c>
    </row>
    <row r="2372" spans="1:1" x14ac:dyDescent="0.3">
      <c r="A2372" s="1">
        <v>45836</v>
      </c>
    </row>
    <row r="2373" spans="1:1" x14ac:dyDescent="0.3">
      <c r="A2373" s="1">
        <v>45837</v>
      </c>
    </row>
    <row r="2374" spans="1:1" x14ac:dyDescent="0.3">
      <c r="A2374" s="1">
        <v>45838</v>
      </c>
    </row>
    <row r="2375" spans="1:1" x14ac:dyDescent="0.3">
      <c r="A2375" s="1">
        <v>45839</v>
      </c>
    </row>
    <row r="2376" spans="1:1" x14ac:dyDescent="0.3">
      <c r="A2376" s="1">
        <v>45840</v>
      </c>
    </row>
    <row r="2377" spans="1:1" x14ac:dyDescent="0.3">
      <c r="A2377" s="1">
        <v>45841</v>
      </c>
    </row>
    <row r="2378" spans="1:1" x14ac:dyDescent="0.3">
      <c r="A2378" s="1">
        <v>45842</v>
      </c>
    </row>
    <row r="2379" spans="1:1" x14ac:dyDescent="0.3">
      <c r="A2379" s="1">
        <v>45843</v>
      </c>
    </row>
    <row r="2380" spans="1:1" x14ac:dyDescent="0.3">
      <c r="A2380" s="1">
        <v>45844</v>
      </c>
    </row>
    <row r="2381" spans="1:1" x14ac:dyDescent="0.3">
      <c r="A2381" s="1">
        <v>45845</v>
      </c>
    </row>
    <row r="2382" spans="1:1" x14ac:dyDescent="0.3">
      <c r="A2382" s="1">
        <v>45846</v>
      </c>
    </row>
    <row r="2383" spans="1:1" x14ac:dyDescent="0.3">
      <c r="A2383" s="1">
        <v>45847</v>
      </c>
    </row>
    <row r="2384" spans="1:1" x14ac:dyDescent="0.3">
      <c r="A2384" s="1">
        <v>45848</v>
      </c>
    </row>
    <row r="2385" spans="1:1" x14ac:dyDescent="0.3">
      <c r="A2385" s="1">
        <v>45849</v>
      </c>
    </row>
    <row r="2386" spans="1:1" x14ac:dyDescent="0.3">
      <c r="A2386" s="1">
        <v>45850</v>
      </c>
    </row>
    <row r="2387" spans="1:1" x14ac:dyDescent="0.3">
      <c r="A2387" s="1">
        <v>45851</v>
      </c>
    </row>
    <row r="2388" spans="1:1" x14ac:dyDescent="0.3">
      <c r="A2388" s="1">
        <v>45852</v>
      </c>
    </row>
    <row r="2389" spans="1:1" x14ac:dyDescent="0.3">
      <c r="A2389" s="1">
        <v>45853</v>
      </c>
    </row>
    <row r="2390" spans="1:1" x14ac:dyDescent="0.3">
      <c r="A2390" s="1">
        <v>45854</v>
      </c>
    </row>
    <row r="2391" spans="1:1" x14ac:dyDescent="0.3">
      <c r="A2391" s="1">
        <v>45855</v>
      </c>
    </row>
    <row r="2392" spans="1:1" x14ac:dyDescent="0.3">
      <c r="A2392" s="1">
        <v>45856</v>
      </c>
    </row>
    <row r="2393" spans="1:1" x14ac:dyDescent="0.3">
      <c r="A2393" s="1">
        <v>45857</v>
      </c>
    </row>
    <row r="2394" spans="1:1" x14ac:dyDescent="0.3">
      <c r="A2394" s="1">
        <v>45858</v>
      </c>
    </row>
    <row r="2395" spans="1:1" x14ac:dyDescent="0.3">
      <c r="A2395" s="1">
        <v>45859</v>
      </c>
    </row>
    <row r="2396" spans="1:1" x14ac:dyDescent="0.3">
      <c r="A2396" s="1">
        <v>45860</v>
      </c>
    </row>
    <row r="2397" spans="1:1" x14ac:dyDescent="0.3">
      <c r="A2397" s="1">
        <v>45861</v>
      </c>
    </row>
    <row r="2398" spans="1:1" x14ac:dyDescent="0.3">
      <c r="A2398" s="1">
        <v>45862</v>
      </c>
    </row>
    <row r="2399" spans="1:1" x14ac:dyDescent="0.3">
      <c r="A2399" s="1">
        <v>45863</v>
      </c>
    </row>
    <row r="2400" spans="1:1" x14ac:dyDescent="0.3">
      <c r="A2400" s="1">
        <v>45864</v>
      </c>
    </row>
    <row r="2401" spans="1:1" x14ac:dyDescent="0.3">
      <c r="A2401" s="1">
        <v>45865</v>
      </c>
    </row>
    <row r="2402" spans="1:1" x14ac:dyDescent="0.3">
      <c r="A2402" s="1">
        <v>45866</v>
      </c>
    </row>
    <row r="2403" spans="1:1" x14ac:dyDescent="0.3">
      <c r="A2403" s="1">
        <v>45867</v>
      </c>
    </row>
    <row r="2404" spans="1:1" x14ac:dyDescent="0.3">
      <c r="A2404" s="1">
        <v>45868</v>
      </c>
    </row>
    <row r="2405" spans="1:1" x14ac:dyDescent="0.3">
      <c r="A2405" s="1">
        <v>45869</v>
      </c>
    </row>
    <row r="2406" spans="1:1" x14ac:dyDescent="0.3">
      <c r="A2406" s="1">
        <v>45870</v>
      </c>
    </row>
    <row r="2407" spans="1:1" x14ac:dyDescent="0.3">
      <c r="A2407" s="1">
        <v>45871</v>
      </c>
    </row>
    <row r="2408" spans="1:1" x14ac:dyDescent="0.3">
      <c r="A2408" s="1">
        <v>45872</v>
      </c>
    </row>
    <row r="2409" spans="1:1" x14ac:dyDescent="0.3">
      <c r="A2409" s="1">
        <v>45873</v>
      </c>
    </row>
    <row r="2410" spans="1:1" x14ac:dyDescent="0.3">
      <c r="A2410" s="1">
        <v>45874</v>
      </c>
    </row>
    <row r="2411" spans="1:1" x14ac:dyDescent="0.3">
      <c r="A2411" s="1">
        <v>45875</v>
      </c>
    </row>
    <row r="2412" spans="1:1" x14ac:dyDescent="0.3">
      <c r="A2412" s="1">
        <v>45876</v>
      </c>
    </row>
    <row r="2413" spans="1:1" x14ac:dyDescent="0.3">
      <c r="A2413" s="1">
        <v>45877</v>
      </c>
    </row>
    <row r="2414" spans="1:1" x14ac:dyDescent="0.3">
      <c r="A2414" s="1">
        <v>45878</v>
      </c>
    </row>
    <row r="2415" spans="1:1" x14ac:dyDescent="0.3">
      <c r="A2415" s="1">
        <v>45879</v>
      </c>
    </row>
    <row r="2416" spans="1:1" x14ac:dyDescent="0.3">
      <c r="A2416" s="1">
        <v>45880</v>
      </c>
    </row>
    <row r="2417" spans="1:1" x14ac:dyDescent="0.3">
      <c r="A2417" s="1">
        <v>45881</v>
      </c>
    </row>
    <row r="2418" spans="1:1" x14ac:dyDescent="0.3">
      <c r="A2418" s="1">
        <v>45882</v>
      </c>
    </row>
    <row r="2419" spans="1:1" x14ac:dyDescent="0.3">
      <c r="A2419" s="1">
        <v>45883</v>
      </c>
    </row>
    <row r="2420" spans="1:1" x14ac:dyDescent="0.3">
      <c r="A2420" s="1">
        <v>45884</v>
      </c>
    </row>
    <row r="2421" spans="1:1" x14ac:dyDescent="0.3">
      <c r="A2421" s="1">
        <v>45885</v>
      </c>
    </row>
    <row r="2422" spans="1:1" x14ac:dyDescent="0.3">
      <c r="A2422" s="1">
        <v>45886</v>
      </c>
    </row>
    <row r="2423" spans="1:1" x14ac:dyDescent="0.3">
      <c r="A2423" s="1">
        <v>45887</v>
      </c>
    </row>
    <row r="2424" spans="1:1" x14ac:dyDescent="0.3">
      <c r="A2424" s="1">
        <v>45888</v>
      </c>
    </row>
    <row r="2425" spans="1:1" x14ac:dyDescent="0.3">
      <c r="A2425" s="1">
        <v>45889</v>
      </c>
    </row>
    <row r="2426" spans="1:1" x14ac:dyDescent="0.3">
      <c r="A2426" s="1">
        <v>45890</v>
      </c>
    </row>
    <row r="2427" spans="1:1" x14ac:dyDescent="0.3">
      <c r="A2427" s="1">
        <v>45891</v>
      </c>
    </row>
    <row r="2428" spans="1:1" x14ac:dyDescent="0.3">
      <c r="A2428" s="1">
        <v>45892</v>
      </c>
    </row>
    <row r="2429" spans="1:1" x14ac:dyDescent="0.3">
      <c r="A2429" s="1">
        <v>45893</v>
      </c>
    </row>
    <row r="2430" spans="1:1" x14ac:dyDescent="0.3">
      <c r="A2430" s="1">
        <v>45894</v>
      </c>
    </row>
    <row r="2431" spans="1:1" x14ac:dyDescent="0.3">
      <c r="A2431" s="1">
        <v>45895</v>
      </c>
    </row>
    <row r="2432" spans="1:1" x14ac:dyDescent="0.3">
      <c r="A2432" s="1">
        <v>45896</v>
      </c>
    </row>
    <row r="2433" spans="1:1" x14ac:dyDescent="0.3">
      <c r="A2433" s="1">
        <v>45897</v>
      </c>
    </row>
    <row r="2434" spans="1:1" x14ac:dyDescent="0.3">
      <c r="A2434" s="1">
        <v>45898</v>
      </c>
    </row>
    <row r="2435" spans="1:1" x14ac:dyDescent="0.3">
      <c r="A2435" s="1">
        <v>45899</v>
      </c>
    </row>
    <row r="2436" spans="1:1" x14ac:dyDescent="0.3">
      <c r="A2436" s="1">
        <v>45900</v>
      </c>
    </row>
    <row r="2437" spans="1:1" x14ac:dyDescent="0.3">
      <c r="A2437" s="1">
        <v>45901</v>
      </c>
    </row>
    <row r="2438" spans="1:1" x14ac:dyDescent="0.3">
      <c r="A2438" s="1">
        <v>45902</v>
      </c>
    </row>
    <row r="2439" spans="1:1" x14ac:dyDescent="0.3">
      <c r="A2439" s="1">
        <v>45903</v>
      </c>
    </row>
    <row r="2440" spans="1:1" x14ac:dyDescent="0.3">
      <c r="A2440" s="1">
        <v>45904</v>
      </c>
    </row>
    <row r="2441" spans="1:1" x14ac:dyDescent="0.3">
      <c r="A2441" s="1">
        <v>45905</v>
      </c>
    </row>
    <row r="2442" spans="1:1" x14ac:dyDescent="0.3">
      <c r="A2442" s="1">
        <v>45906</v>
      </c>
    </row>
    <row r="2443" spans="1:1" x14ac:dyDescent="0.3">
      <c r="A2443" s="1">
        <v>45907</v>
      </c>
    </row>
    <row r="2444" spans="1:1" x14ac:dyDescent="0.3">
      <c r="A2444" s="1">
        <v>45908</v>
      </c>
    </row>
    <row r="2445" spans="1:1" x14ac:dyDescent="0.3">
      <c r="A2445" s="1">
        <v>45909</v>
      </c>
    </row>
    <row r="2446" spans="1:1" x14ac:dyDescent="0.3">
      <c r="A2446" s="1">
        <v>45910</v>
      </c>
    </row>
    <row r="2447" spans="1:1" x14ac:dyDescent="0.3">
      <c r="A2447" s="1">
        <v>45911</v>
      </c>
    </row>
    <row r="2448" spans="1:1" x14ac:dyDescent="0.3">
      <c r="A2448" s="1">
        <v>45912</v>
      </c>
    </row>
    <row r="2449" spans="1:1" x14ac:dyDescent="0.3">
      <c r="A2449" s="1">
        <v>45913</v>
      </c>
    </row>
    <row r="2450" spans="1:1" x14ac:dyDescent="0.3">
      <c r="A2450" s="1">
        <v>45914</v>
      </c>
    </row>
    <row r="2451" spans="1:1" x14ac:dyDescent="0.3">
      <c r="A2451" s="1">
        <v>45915</v>
      </c>
    </row>
    <row r="2452" spans="1:1" x14ac:dyDescent="0.3">
      <c r="A2452" s="1">
        <v>45916</v>
      </c>
    </row>
    <row r="2453" spans="1:1" x14ac:dyDescent="0.3">
      <c r="A2453" s="1">
        <v>45917</v>
      </c>
    </row>
    <row r="2454" spans="1:1" x14ac:dyDescent="0.3">
      <c r="A2454" s="1">
        <v>45918</v>
      </c>
    </row>
    <row r="2455" spans="1:1" x14ac:dyDescent="0.3">
      <c r="A2455" s="1">
        <v>45919</v>
      </c>
    </row>
    <row r="2456" spans="1:1" x14ac:dyDescent="0.3">
      <c r="A2456" s="1">
        <v>45920</v>
      </c>
    </row>
    <row r="2457" spans="1:1" x14ac:dyDescent="0.3">
      <c r="A2457" s="1">
        <v>45921</v>
      </c>
    </row>
    <row r="2458" spans="1:1" x14ac:dyDescent="0.3">
      <c r="A2458" s="1">
        <v>45922</v>
      </c>
    </row>
    <row r="2459" spans="1:1" x14ac:dyDescent="0.3">
      <c r="A2459" s="1">
        <v>45923</v>
      </c>
    </row>
    <row r="2460" spans="1:1" x14ac:dyDescent="0.3">
      <c r="A2460" s="1">
        <v>45924</v>
      </c>
    </row>
    <row r="2461" spans="1:1" x14ac:dyDescent="0.3">
      <c r="A2461" s="1">
        <v>45925</v>
      </c>
    </row>
    <row r="2462" spans="1:1" x14ac:dyDescent="0.3">
      <c r="A2462" s="1">
        <v>45926</v>
      </c>
    </row>
    <row r="2463" spans="1:1" x14ac:dyDescent="0.3">
      <c r="A2463" s="1">
        <v>45927</v>
      </c>
    </row>
    <row r="2464" spans="1:1" x14ac:dyDescent="0.3">
      <c r="A2464" s="1">
        <v>45928</v>
      </c>
    </row>
    <row r="2465" spans="1:1" x14ac:dyDescent="0.3">
      <c r="A2465" s="1">
        <v>45929</v>
      </c>
    </row>
    <row r="2466" spans="1:1" x14ac:dyDescent="0.3">
      <c r="A2466" s="1">
        <v>45930</v>
      </c>
    </row>
    <row r="2467" spans="1:1" x14ac:dyDescent="0.3">
      <c r="A2467" s="1">
        <v>45931</v>
      </c>
    </row>
    <row r="2468" spans="1:1" x14ac:dyDescent="0.3">
      <c r="A2468" s="1">
        <v>45932</v>
      </c>
    </row>
    <row r="2469" spans="1:1" x14ac:dyDescent="0.3">
      <c r="A2469" s="1">
        <v>45933</v>
      </c>
    </row>
    <row r="2470" spans="1:1" x14ac:dyDescent="0.3">
      <c r="A2470" s="1">
        <v>45934</v>
      </c>
    </row>
    <row r="2471" spans="1:1" x14ac:dyDescent="0.3">
      <c r="A2471" s="1">
        <v>45935</v>
      </c>
    </row>
    <row r="2472" spans="1:1" x14ac:dyDescent="0.3">
      <c r="A2472" s="1">
        <v>45936</v>
      </c>
    </row>
    <row r="2473" spans="1:1" x14ac:dyDescent="0.3">
      <c r="A2473" s="1">
        <v>45937</v>
      </c>
    </row>
    <row r="2474" spans="1:1" x14ac:dyDescent="0.3">
      <c r="A2474" s="1">
        <v>45938</v>
      </c>
    </row>
    <row r="2475" spans="1:1" x14ac:dyDescent="0.3">
      <c r="A2475" s="1">
        <v>45939</v>
      </c>
    </row>
    <row r="2476" spans="1:1" x14ac:dyDescent="0.3">
      <c r="A2476" s="1">
        <v>45940</v>
      </c>
    </row>
    <row r="2477" spans="1:1" x14ac:dyDescent="0.3">
      <c r="A2477" s="1">
        <v>45941</v>
      </c>
    </row>
    <row r="2478" spans="1:1" x14ac:dyDescent="0.3">
      <c r="A2478" s="1">
        <v>45942</v>
      </c>
    </row>
    <row r="2479" spans="1:1" x14ac:dyDescent="0.3">
      <c r="A2479" s="1">
        <v>45943</v>
      </c>
    </row>
    <row r="2480" spans="1:1" x14ac:dyDescent="0.3">
      <c r="A2480" s="1">
        <v>45944</v>
      </c>
    </row>
    <row r="2481" spans="1:1" x14ac:dyDescent="0.3">
      <c r="A2481" s="1">
        <v>45945</v>
      </c>
    </row>
    <row r="2482" spans="1:1" x14ac:dyDescent="0.3">
      <c r="A2482" s="1">
        <v>45946</v>
      </c>
    </row>
    <row r="2483" spans="1:1" x14ac:dyDescent="0.3">
      <c r="A2483" s="1">
        <v>45947</v>
      </c>
    </row>
    <row r="2484" spans="1:1" x14ac:dyDescent="0.3">
      <c r="A2484" s="1">
        <v>45948</v>
      </c>
    </row>
    <row r="2485" spans="1:1" x14ac:dyDescent="0.3">
      <c r="A2485" s="1">
        <v>45949</v>
      </c>
    </row>
    <row r="2486" spans="1:1" x14ac:dyDescent="0.3">
      <c r="A2486" s="1">
        <v>45950</v>
      </c>
    </row>
    <row r="2487" spans="1:1" x14ac:dyDescent="0.3">
      <c r="A2487" s="1">
        <v>45951</v>
      </c>
    </row>
    <row r="2488" spans="1:1" x14ac:dyDescent="0.3">
      <c r="A2488" s="1">
        <v>45952</v>
      </c>
    </row>
    <row r="2489" spans="1:1" x14ac:dyDescent="0.3">
      <c r="A2489" s="1">
        <v>45953</v>
      </c>
    </row>
    <row r="2490" spans="1:1" x14ac:dyDescent="0.3">
      <c r="A2490" s="1">
        <v>45954</v>
      </c>
    </row>
    <row r="2491" spans="1:1" x14ac:dyDescent="0.3">
      <c r="A2491" s="1">
        <v>45955</v>
      </c>
    </row>
    <row r="2492" spans="1:1" x14ac:dyDescent="0.3">
      <c r="A2492" s="1">
        <v>45956</v>
      </c>
    </row>
    <row r="2493" spans="1:1" x14ac:dyDescent="0.3">
      <c r="A2493" s="1">
        <v>45957</v>
      </c>
    </row>
    <row r="2494" spans="1:1" x14ac:dyDescent="0.3">
      <c r="A2494" s="1">
        <v>45958</v>
      </c>
    </row>
    <row r="2495" spans="1:1" x14ac:dyDescent="0.3">
      <c r="A2495" s="1">
        <v>45959</v>
      </c>
    </row>
    <row r="2496" spans="1:1" x14ac:dyDescent="0.3">
      <c r="A2496" s="1">
        <v>45960</v>
      </c>
    </row>
    <row r="2497" spans="1:1" x14ac:dyDescent="0.3">
      <c r="A2497" s="1">
        <v>45961</v>
      </c>
    </row>
    <row r="2498" spans="1:1" x14ac:dyDescent="0.3">
      <c r="A2498" s="1">
        <v>45962</v>
      </c>
    </row>
    <row r="2499" spans="1:1" x14ac:dyDescent="0.3">
      <c r="A2499" s="1">
        <v>45963</v>
      </c>
    </row>
    <row r="2500" spans="1:1" x14ac:dyDescent="0.3">
      <c r="A2500" s="1">
        <v>45964</v>
      </c>
    </row>
    <row r="2501" spans="1:1" x14ac:dyDescent="0.3">
      <c r="A2501" s="1">
        <v>45965</v>
      </c>
    </row>
    <row r="2502" spans="1:1" x14ac:dyDescent="0.3">
      <c r="A2502" s="1">
        <v>45966</v>
      </c>
    </row>
    <row r="2503" spans="1:1" x14ac:dyDescent="0.3">
      <c r="A2503" s="1">
        <v>45967</v>
      </c>
    </row>
    <row r="2504" spans="1:1" x14ac:dyDescent="0.3">
      <c r="A2504" s="1">
        <v>45968</v>
      </c>
    </row>
    <row r="2505" spans="1:1" x14ac:dyDescent="0.3">
      <c r="A2505" s="1">
        <v>45969</v>
      </c>
    </row>
    <row r="2506" spans="1:1" x14ac:dyDescent="0.3">
      <c r="A2506" s="1">
        <v>45970</v>
      </c>
    </row>
    <row r="2507" spans="1:1" x14ac:dyDescent="0.3">
      <c r="A2507" s="1">
        <v>45971</v>
      </c>
    </row>
    <row r="2508" spans="1:1" x14ac:dyDescent="0.3">
      <c r="A2508" s="1">
        <v>45972</v>
      </c>
    </row>
    <row r="2509" spans="1:1" x14ac:dyDescent="0.3">
      <c r="A2509" s="1">
        <v>45973</v>
      </c>
    </row>
    <row r="2510" spans="1:1" x14ac:dyDescent="0.3">
      <c r="A2510" s="1">
        <v>45974</v>
      </c>
    </row>
    <row r="2511" spans="1:1" x14ac:dyDescent="0.3">
      <c r="A2511" s="1">
        <v>45975</v>
      </c>
    </row>
    <row r="2512" spans="1:1" x14ac:dyDescent="0.3">
      <c r="A2512" s="1">
        <v>45976</v>
      </c>
    </row>
    <row r="2513" spans="1:1" x14ac:dyDescent="0.3">
      <c r="A2513" s="1">
        <v>45977</v>
      </c>
    </row>
    <row r="2514" spans="1:1" x14ac:dyDescent="0.3">
      <c r="A2514" s="1">
        <v>45978</v>
      </c>
    </row>
    <row r="2515" spans="1:1" x14ac:dyDescent="0.3">
      <c r="A2515" s="1">
        <v>45979</v>
      </c>
    </row>
    <row r="2516" spans="1:1" x14ac:dyDescent="0.3">
      <c r="A2516" s="1">
        <v>45980</v>
      </c>
    </row>
    <row r="2517" spans="1:1" x14ac:dyDescent="0.3">
      <c r="A2517" s="1">
        <v>45981</v>
      </c>
    </row>
    <row r="2518" spans="1:1" x14ac:dyDescent="0.3">
      <c r="A2518" s="1">
        <v>45982</v>
      </c>
    </row>
    <row r="2519" spans="1:1" x14ac:dyDescent="0.3">
      <c r="A2519" s="1">
        <v>45983</v>
      </c>
    </row>
    <row r="2520" spans="1:1" x14ac:dyDescent="0.3">
      <c r="A2520" s="1">
        <v>45984</v>
      </c>
    </row>
    <row r="2521" spans="1:1" x14ac:dyDescent="0.3">
      <c r="A2521" s="1">
        <v>45985</v>
      </c>
    </row>
    <row r="2522" spans="1:1" x14ac:dyDescent="0.3">
      <c r="A2522" s="1">
        <v>45986</v>
      </c>
    </row>
    <row r="2523" spans="1:1" x14ac:dyDescent="0.3">
      <c r="A2523" s="1">
        <v>45987</v>
      </c>
    </row>
    <row r="2524" spans="1:1" x14ac:dyDescent="0.3">
      <c r="A2524" s="1">
        <v>45988</v>
      </c>
    </row>
    <row r="2525" spans="1:1" x14ac:dyDescent="0.3">
      <c r="A2525" s="1">
        <v>45989</v>
      </c>
    </row>
    <row r="2526" spans="1:1" x14ac:dyDescent="0.3">
      <c r="A2526" s="1">
        <v>45990</v>
      </c>
    </row>
    <row r="2527" spans="1:1" x14ac:dyDescent="0.3">
      <c r="A2527" s="1">
        <v>45991</v>
      </c>
    </row>
    <row r="2528" spans="1:1" x14ac:dyDescent="0.3">
      <c r="A2528" s="1">
        <v>45992</v>
      </c>
    </row>
    <row r="2529" spans="1:1" x14ac:dyDescent="0.3">
      <c r="A2529" s="1">
        <v>45993</v>
      </c>
    </row>
    <row r="2530" spans="1:1" x14ac:dyDescent="0.3">
      <c r="A2530" s="1">
        <v>45994</v>
      </c>
    </row>
    <row r="2531" spans="1:1" x14ac:dyDescent="0.3">
      <c r="A2531" s="1">
        <v>45995</v>
      </c>
    </row>
    <row r="2532" spans="1:1" x14ac:dyDescent="0.3">
      <c r="A2532" s="1">
        <v>45996</v>
      </c>
    </row>
    <row r="2533" spans="1:1" x14ac:dyDescent="0.3">
      <c r="A2533" s="1">
        <v>45997</v>
      </c>
    </row>
    <row r="2534" spans="1:1" x14ac:dyDescent="0.3">
      <c r="A2534" s="1">
        <v>45998</v>
      </c>
    </row>
    <row r="2535" spans="1:1" x14ac:dyDescent="0.3">
      <c r="A2535" s="1">
        <v>45999</v>
      </c>
    </row>
    <row r="2536" spans="1:1" x14ac:dyDescent="0.3">
      <c r="A2536" s="1">
        <v>46000</v>
      </c>
    </row>
    <row r="2537" spans="1:1" x14ac:dyDescent="0.3">
      <c r="A2537" s="1">
        <v>46001</v>
      </c>
    </row>
    <row r="2538" spans="1:1" x14ac:dyDescent="0.3">
      <c r="A2538" s="1">
        <v>46002</v>
      </c>
    </row>
    <row r="2539" spans="1:1" x14ac:dyDescent="0.3">
      <c r="A2539" s="1">
        <v>46003</v>
      </c>
    </row>
    <row r="2540" spans="1:1" x14ac:dyDescent="0.3">
      <c r="A2540" s="1">
        <v>46004</v>
      </c>
    </row>
    <row r="2541" spans="1:1" x14ac:dyDescent="0.3">
      <c r="A2541" s="1">
        <v>46005</v>
      </c>
    </row>
    <row r="2542" spans="1:1" x14ac:dyDescent="0.3">
      <c r="A2542" s="1">
        <v>46006</v>
      </c>
    </row>
    <row r="2543" spans="1:1" x14ac:dyDescent="0.3">
      <c r="A2543" s="1">
        <v>46007</v>
      </c>
    </row>
    <row r="2544" spans="1:1" x14ac:dyDescent="0.3">
      <c r="A2544" s="1">
        <v>46008</v>
      </c>
    </row>
    <row r="2545" spans="1:1" x14ac:dyDescent="0.3">
      <c r="A2545" s="1">
        <v>46009</v>
      </c>
    </row>
    <row r="2546" spans="1:1" x14ac:dyDescent="0.3">
      <c r="A2546" s="1">
        <v>46010</v>
      </c>
    </row>
    <row r="2547" spans="1:1" x14ac:dyDescent="0.3">
      <c r="A2547" s="1">
        <v>46011</v>
      </c>
    </row>
    <row r="2548" spans="1:1" x14ac:dyDescent="0.3">
      <c r="A2548" s="1">
        <v>46012</v>
      </c>
    </row>
    <row r="2549" spans="1:1" x14ac:dyDescent="0.3">
      <c r="A2549" s="1">
        <v>46013</v>
      </c>
    </row>
    <row r="2550" spans="1:1" x14ac:dyDescent="0.3">
      <c r="A2550" s="1">
        <v>46014</v>
      </c>
    </row>
    <row r="2551" spans="1:1" x14ac:dyDescent="0.3">
      <c r="A2551" s="1">
        <v>46015</v>
      </c>
    </row>
    <row r="2552" spans="1:1" x14ac:dyDescent="0.3">
      <c r="A2552" s="1">
        <v>46016</v>
      </c>
    </row>
    <row r="2553" spans="1:1" x14ac:dyDescent="0.3">
      <c r="A2553" s="1">
        <v>46017</v>
      </c>
    </row>
    <row r="2554" spans="1:1" x14ac:dyDescent="0.3">
      <c r="A2554" s="1">
        <v>46018</v>
      </c>
    </row>
    <row r="2555" spans="1:1" x14ac:dyDescent="0.3">
      <c r="A2555" s="1">
        <v>46019</v>
      </c>
    </row>
    <row r="2556" spans="1:1" x14ac:dyDescent="0.3">
      <c r="A2556" s="1">
        <v>46020</v>
      </c>
    </row>
    <row r="2557" spans="1:1" x14ac:dyDescent="0.3">
      <c r="A2557" s="1">
        <v>46021</v>
      </c>
    </row>
    <row r="2558" spans="1:1" x14ac:dyDescent="0.3">
      <c r="A2558" s="1">
        <v>46022</v>
      </c>
    </row>
    <row r="2559" spans="1:1" x14ac:dyDescent="0.3">
      <c r="A2559" s="1">
        <v>46023</v>
      </c>
    </row>
    <row r="2560" spans="1:1" x14ac:dyDescent="0.3">
      <c r="A2560" s="1">
        <v>46024</v>
      </c>
    </row>
    <row r="2561" spans="1:1" x14ac:dyDescent="0.3">
      <c r="A2561" s="1">
        <v>46025</v>
      </c>
    </row>
    <row r="2562" spans="1:1" x14ac:dyDescent="0.3">
      <c r="A2562" s="1">
        <v>46026</v>
      </c>
    </row>
    <row r="2563" spans="1:1" x14ac:dyDescent="0.3">
      <c r="A2563" s="1">
        <v>46027</v>
      </c>
    </row>
    <row r="2564" spans="1:1" x14ac:dyDescent="0.3">
      <c r="A2564" s="1">
        <v>46028</v>
      </c>
    </row>
    <row r="2565" spans="1:1" x14ac:dyDescent="0.3">
      <c r="A2565" s="1">
        <v>46029</v>
      </c>
    </row>
    <row r="2566" spans="1:1" x14ac:dyDescent="0.3">
      <c r="A2566" s="1">
        <v>46030</v>
      </c>
    </row>
    <row r="2567" spans="1:1" x14ac:dyDescent="0.3">
      <c r="A2567" s="1">
        <v>46031</v>
      </c>
    </row>
    <row r="2568" spans="1:1" x14ac:dyDescent="0.3">
      <c r="A2568" s="1">
        <v>46032</v>
      </c>
    </row>
    <row r="2569" spans="1:1" x14ac:dyDescent="0.3">
      <c r="A2569" s="1">
        <v>46033</v>
      </c>
    </row>
    <row r="2570" spans="1:1" x14ac:dyDescent="0.3">
      <c r="A2570" s="1">
        <v>46034</v>
      </c>
    </row>
    <row r="2571" spans="1:1" x14ac:dyDescent="0.3">
      <c r="A2571" s="1">
        <v>46035</v>
      </c>
    </row>
    <row r="2572" spans="1:1" x14ac:dyDescent="0.3">
      <c r="A2572" s="1">
        <v>46036</v>
      </c>
    </row>
    <row r="2573" spans="1:1" x14ac:dyDescent="0.3">
      <c r="A2573" s="1">
        <v>46037</v>
      </c>
    </row>
    <row r="2574" spans="1:1" x14ac:dyDescent="0.3">
      <c r="A2574" s="1">
        <v>46038</v>
      </c>
    </row>
    <row r="2575" spans="1:1" x14ac:dyDescent="0.3">
      <c r="A2575" s="1">
        <v>46039</v>
      </c>
    </row>
    <row r="2576" spans="1:1" x14ac:dyDescent="0.3">
      <c r="A2576" s="1">
        <v>46040</v>
      </c>
    </row>
    <row r="2577" spans="1:1" x14ac:dyDescent="0.3">
      <c r="A2577" s="1">
        <v>46041</v>
      </c>
    </row>
    <row r="2578" spans="1:1" x14ac:dyDescent="0.3">
      <c r="A2578" s="1">
        <v>46042</v>
      </c>
    </row>
    <row r="2579" spans="1:1" x14ac:dyDescent="0.3">
      <c r="A2579" s="1">
        <v>46043</v>
      </c>
    </row>
    <row r="2580" spans="1:1" x14ac:dyDescent="0.3">
      <c r="A2580" s="1">
        <v>46044</v>
      </c>
    </row>
    <row r="2581" spans="1:1" x14ac:dyDescent="0.3">
      <c r="A2581" s="1">
        <v>46045</v>
      </c>
    </row>
    <row r="2582" spans="1:1" x14ac:dyDescent="0.3">
      <c r="A2582" s="1">
        <v>46046</v>
      </c>
    </row>
    <row r="2583" spans="1:1" x14ac:dyDescent="0.3">
      <c r="A2583" s="1">
        <v>46047</v>
      </c>
    </row>
    <row r="2584" spans="1:1" x14ac:dyDescent="0.3">
      <c r="A2584" s="1">
        <v>46048</v>
      </c>
    </row>
    <row r="2585" spans="1:1" x14ac:dyDescent="0.3">
      <c r="A2585" s="1">
        <v>46049</v>
      </c>
    </row>
    <row r="2586" spans="1:1" x14ac:dyDescent="0.3">
      <c r="A2586" s="1">
        <v>46050</v>
      </c>
    </row>
    <row r="2587" spans="1:1" x14ac:dyDescent="0.3">
      <c r="A2587" s="1">
        <v>46051</v>
      </c>
    </row>
    <row r="2588" spans="1:1" x14ac:dyDescent="0.3">
      <c r="A2588" s="1">
        <v>46052</v>
      </c>
    </row>
    <row r="2589" spans="1:1" x14ac:dyDescent="0.3">
      <c r="A2589" s="1">
        <v>46053</v>
      </c>
    </row>
    <row r="2590" spans="1:1" x14ac:dyDescent="0.3">
      <c r="A2590" s="1">
        <v>46054</v>
      </c>
    </row>
    <row r="2591" spans="1:1" x14ac:dyDescent="0.3">
      <c r="A2591" s="1">
        <v>46055</v>
      </c>
    </row>
    <row r="2592" spans="1:1" x14ac:dyDescent="0.3">
      <c r="A2592" s="1">
        <v>46056</v>
      </c>
    </row>
    <row r="2593" spans="1:1" x14ac:dyDescent="0.3">
      <c r="A2593" s="1">
        <v>46057</v>
      </c>
    </row>
    <row r="2594" spans="1:1" x14ac:dyDescent="0.3">
      <c r="A2594" s="1">
        <v>46058</v>
      </c>
    </row>
    <row r="2595" spans="1:1" x14ac:dyDescent="0.3">
      <c r="A2595" s="1">
        <v>46059</v>
      </c>
    </row>
    <row r="2596" spans="1:1" x14ac:dyDescent="0.3">
      <c r="A2596" s="1">
        <v>46060</v>
      </c>
    </row>
    <row r="2597" spans="1:1" x14ac:dyDescent="0.3">
      <c r="A2597" s="1">
        <v>46061</v>
      </c>
    </row>
    <row r="2598" spans="1:1" x14ac:dyDescent="0.3">
      <c r="A2598" s="1">
        <v>46062</v>
      </c>
    </row>
    <row r="2599" spans="1:1" x14ac:dyDescent="0.3">
      <c r="A2599" s="1">
        <v>46063</v>
      </c>
    </row>
    <row r="2600" spans="1:1" x14ac:dyDescent="0.3">
      <c r="A2600" s="1">
        <v>46064</v>
      </c>
    </row>
    <row r="2601" spans="1:1" x14ac:dyDescent="0.3">
      <c r="A2601" s="1">
        <v>46065</v>
      </c>
    </row>
    <row r="2602" spans="1:1" x14ac:dyDescent="0.3">
      <c r="A2602" s="1">
        <v>46066</v>
      </c>
    </row>
    <row r="2603" spans="1:1" x14ac:dyDescent="0.3">
      <c r="A2603" s="1">
        <v>46067</v>
      </c>
    </row>
    <row r="2604" spans="1:1" x14ac:dyDescent="0.3">
      <c r="A2604" s="1">
        <v>46068</v>
      </c>
    </row>
    <row r="2605" spans="1:1" x14ac:dyDescent="0.3">
      <c r="A2605" s="1">
        <v>46069</v>
      </c>
    </row>
    <row r="2606" spans="1:1" x14ac:dyDescent="0.3">
      <c r="A2606" s="1">
        <v>46070</v>
      </c>
    </row>
    <row r="2607" spans="1:1" x14ac:dyDescent="0.3">
      <c r="A2607" s="1">
        <v>46071</v>
      </c>
    </row>
    <row r="2608" spans="1:1" x14ac:dyDescent="0.3">
      <c r="A2608" s="1">
        <v>46072</v>
      </c>
    </row>
    <row r="2609" spans="1:1" x14ac:dyDescent="0.3">
      <c r="A2609" s="1">
        <v>46073</v>
      </c>
    </row>
    <row r="2610" spans="1:1" x14ac:dyDescent="0.3">
      <c r="A2610" s="1">
        <v>46074</v>
      </c>
    </row>
    <row r="2611" spans="1:1" x14ac:dyDescent="0.3">
      <c r="A2611" s="1">
        <v>46075</v>
      </c>
    </row>
    <row r="2612" spans="1:1" x14ac:dyDescent="0.3">
      <c r="A2612" s="1">
        <v>46076</v>
      </c>
    </row>
    <row r="2613" spans="1:1" x14ac:dyDescent="0.3">
      <c r="A2613" s="1">
        <v>46077</v>
      </c>
    </row>
    <row r="2614" spans="1:1" x14ac:dyDescent="0.3">
      <c r="A2614" s="1">
        <v>46078</v>
      </c>
    </row>
    <row r="2615" spans="1:1" x14ac:dyDescent="0.3">
      <c r="A2615" s="1">
        <v>46079</v>
      </c>
    </row>
    <row r="2616" spans="1:1" x14ac:dyDescent="0.3">
      <c r="A2616" s="1">
        <v>46080</v>
      </c>
    </row>
    <row r="2617" spans="1:1" x14ac:dyDescent="0.3">
      <c r="A2617" s="1">
        <v>46081</v>
      </c>
    </row>
    <row r="2618" spans="1:1" x14ac:dyDescent="0.3">
      <c r="A2618" s="1">
        <v>46082</v>
      </c>
    </row>
    <row r="2619" spans="1:1" x14ac:dyDescent="0.3">
      <c r="A2619" s="1">
        <v>46083</v>
      </c>
    </row>
    <row r="2620" spans="1:1" x14ac:dyDescent="0.3">
      <c r="A2620" s="1">
        <v>46084</v>
      </c>
    </row>
    <row r="2621" spans="1:1" x14ac:dyDescent="0.3">
      <c r="A2621" s="1">
        <v>46085</v>
      </c>
    </row>
    <row r="2622" spans="1:1" x14ac:dyDescent="0.3">
      <c r="A2622" s="1">
        <v>46086</v>
      </c>
    </row>
    <row r="2623" spans="1:1" x14ac:dyDescent="0.3">
      <c r="A2623" s="1">
        <v>46087</v>
      </c>
    </row>
    <row r="2624" spans="1:1" x14ac:dyDescent="0.3">
      <c r="A2624" s="1">
        <v>46088</v>
      </c>
    </row>
    <row r="2625" spans="1:1" x14ac:dyDescent="0.3">
      <c r="A2625" s="1">
        <v>46089</v>
      </c>
    </row>
    <row r="2626" spans="1:1" x14ac:dyDescent="0.3">
      <c r="A2626" s="1">
        <v>46090</v>
      </c>
    </row>
    <row r="2627" spans="1:1" x14ac:dyDescent="0.3">
      <c r="A2627" s="1">
        <v>46091</v>
      </c>
    </row>
    <row r="2628" spans="1:1" x14ac:dyDescent="0.3">
      <c r="A2628" s="1">
        <v>46092</v>
      </c>
    </row>
    <row r="2629" spans="1:1" x14ac:dyDescent="0.3">
      <c r="A2629" s="1">
        <v>46093</v>
      </c>
    </row>
    <row r="2630" spans="1:1" x14ac:dyDescent="0.3">
      <c r="A2630" s="1">
        <v>46094</v>
      </c>
    </row>
    <row r="2631" spans="1:1" x14ac:dyDescent="0.3">
      <c r="A2631" s="1">
        <v>46095</v>
      </c>
    </row>
    <row r="2632" spans="1:1" x14ac:dyDescent="0.3">
      <c r="A2632" s="1">
        <v>46096</v>
      </c>
    </row>
    <row r="2633" spans="1:1" x14ac:dyDescent="0.3">
      <c r="A2633" s="1">
        <v>46097</v>
      </c>
    </row>
    <row r="2634" spans="1:1" x14ac:dyDescent="0.3">
      <c r="A2634" s="1">
        <v>46098</v>
      </c>
    </row>
    <row r="2635" spans="1:1" x14ac:dyDescent="0.3">
      <c r="A2635" s="1">
        <v>46099</v>
      </c>
    </row>
    <row r="2636" spans="1:1" x14ac:dyDescent="0.3">
      <c r="A2636" s="1">
        <v>46100</v>
      </c>
    </row>
    <row r="2637" spans="1:1" x14ac:dyDescent="0.3">
      <c r="A2637" s="1">
        <v>46101</v>
      </c>
    </row>
    <row r="2638" spans="1:1" x14ac:dyDescent="0.3">
      <c r="A2638" s="1">
        <v>46102</v>
      </c>
    </row>
    <row r="2639" spans="1:1" x14ac:dyDescent="0.3">
      <c r="A2639" s="1">
        <v>46103</v>
      </c>
    </row>
    <row r="2640" spans="1:1" x14ac:dyDescent="0.3">
      <c r="A2640" s="1">
        <v>46104</v>
      </c>
    </row>
    <row r="2641" spans="1:1" x14ac:dyDescent="0.3">
      <c r="A2641" s="1">
        <v>46105</v>
      </c>
    </row>
    <row r="2642" spans="1:1" x14ac:dyDescent="0.3">
      <c r="A2642" s="1">
        <v>46106</v>
      </c>
    </row>
    <row r="2643" spans="1:1" x14ac:dyDescent="0.3">
      <c r="A2643" s="1">
        <v>46107</v>
      </c>
    </row>
    <row r="2644" spans="1:1" x14ac:dyDescent="0.3">
      <c r="A2644" s="1">
        <v>46108</v>
      </c>
    </row>
    <row r="2645" spans="1:1" x14ac:dyDescent="0.3">
      <c r="A2645" s="1">
        <v>46109</v>
      </c>
    </row>
    <row r="2646" spans="1:1" x14ac:dyDescent="0.3">
      <c r="A2646" s="1">
        <v>46110</v>
      </c>
    </row>
    <row r="2647" spans="1:1" x14ac:dyDescent="0.3">
      <c r="A2647" s="1">
        <v>46111</v>
      </c>
    </row>
    <row r="2648" spans="1:1" x14ac:dyDescent="0.3">
      <c r="A2648" s="1">
        <v>46112</v>
      </c>
    </row>
    <row r="2649" spans="1:1" x14ac:dyDescent="0.3">
      <c r="A2649" s="1">
        <v>46113</v>
      </c>
    </row>
    <row r="2650" spans="1:1" x14ac:dyDescent="0.3">
      <c r="A2650" s="1">
        <v>46114</v>
      </c>
    </row>
    <row r="2651" spans="1:1" x14ac:dyDescent="0.3">
      <c r="A2651" s="1">
        <v>46115</v>
      </c>
    </row>
    <row r="2652" spans="1:1" x14ac:dyDescent="0.3">
      <c r="A2652" s="1">
        <v>46116</v>
      </c>
    </row>
    <row r="2653" spans="1:1" x14ac:dyDescent="0.3">
      <c r="A2653" s="1">
        <v>46117</v>
      </c>
    </row>
    <row r="2654" spans="1:1" x14ac:dyDescent="0.3">
      <c r="A2654" s="1">
        <v>46118</v>
      </c>
    </row>
    <row r="2655" spans="1:1" x14ac:dyDescent="0.3">
      <c r="A2655" s="1">
        <v>46119</v>
      </c>
    </row>
    <row r="2656" spans="1:1" x14ac:dyDescent="0.3">
      <c r="A2656" s="1">
        <v>46120</v>
      </c>
    </row>
    <row r="2657" spans="1:1" x14ac:dyDescent="0.3">
      <c r="A2657" s="1">
        <v>46121</v>
      </c>
    </row>
    <row r="2658" spans="1:1" x14ac:dyDescent="0.3">
      <c r="A2658" s="1">
        <v>46122</v>
      </c>
    </row>
    <row r="2659" spans="1:1" x14ac:dyDescent="0.3">
      <c r="A2659" s="1">
        <v>46123</v>
      </c>
    </row>
    <row r="2660" spans="1:1" x14ac:dyDescent="0.3">
      <c r="A2660" s="1">
        <v>46124</v>
      </c>
    </row>
    <row r="2661" spans="1:1" x14ac:dyDescent="0.3">
      <c r="A2661" s="1">
        <v>46125</v>
      </c>
    </row>
    <row r="2662" spans="1:1" x14ac:dyDescent="0.3">
      <c r="A2662" s="1">
        <v>46126</v>
      </c>
    </row>
    <row r="2663" spans="1:1" x14ac:dyDescent="0.3">
      <c r="A2663" s="1">
        <v>46127</v>
      </c>
    </row>
    <row r="2664" spans="1:1" x14ac:dyDescent="0.3">
      <c r="A2664" s="1">
        <v>46128</v>
      </c>
    </row>
    <row r="2665" spans="1:1" x14ac:dyDescent="0.3">
      <c r="A2665" s="1">
        <v>46129</v>
      </c>
    </row>
    <row r="2666" spans="1:1" x14ac:dyDescent="0.3">
      <c r="A2666" s="1">
        <v>46130</v>
      </c>
    </row>
    <row r="2667" spans="1:1" x14ac:dyDescent="0.3">
      <c r="A2667" s="1">
        <v>46131</v>
      </c>
    </row>
    <row r="2668" spans="1:1" x14ac:dyDescent="0.3">
      <c r="A2668" s="1">
        <v>46132</v>
      </c>
    </row>
    <row r="2669" spans="1:1" x14ac:dyDescent="0.3">
      <c r="A2669" s="1">
        <v>46133</v>
      </c>
    </row>
    <row r="2670" spans="1:1" x14ac:dyDescent="0.3">
      <c r="A2670" s="1">
        <v>46134</v>
      </c>
    </row>
    <row r="2671" spans="1:1" x14ac:dyDescent="0.3">
      <c r="A2671" s="1">
        <v>46135</v>
      </c>
    </row>
    <row r="2672" spans="1:1" x14ac:dyDescent="0.3">
      <c r="A2672" s="1">
        <v>46136</v>
      </c>
    </row>
    <row r="2673" spans="1:1" x14ac:dyDescent="0.3">
      <c r="A2673" s="1">
        <v>46137</v>
      </c>
    </row>
    <row r="2674" spans="1:1" x14ac:dyDescent="0.3">
      <c r="A2674" s="1">
        <v>46138</v>
      </c>
    </row>
    <row r="2675" spans="1:1" x14ac:dyDescent="0.3">
      <c r="A2675" s="1">
        <v>46139</v>
      </c>
    </row>
    <row r="2676" spans="1:1" x14ac:dyDescent="0.3">
      <c r="A2676" s="1">
        <v>46140</v>
      </c>
    </row>
    <row r="2677" spans="1:1" x14ac:dyDescent="0.3">
      <c r="A2677" s="1">
        <v>46141</v>
      </c>
    </row>
    <row r="2678" spans="1:1" x14ac:dyDescent="0.3">
      <c r="A2678" s="1">
        <v>46142</v>
      </c>
    </row>
    <row r="2679" spans="1:1" x14ac:dyDescent="0.3">
      <c r="A2679" s="1">
        <v>46143</v>
      </c>
    </row>
    <row r="2680" spans="1:1" x14ac:dyDescent="0.3">
      <c r="A2680" s="1">
        <v>46144</v>
      </c>
    </row>
    <row r="2681" spans="1:1" x14ac:dyDescent="0.3">
      <c r="A2681" s="1">
        <v>46145</v>
      </c>
    </row>
    <row r="2682" spans="1:1" x14ac:dyDescent="0.3">
      <c r="A2682" s="1">
        <v>46146</v>
      </c>
    </row>
    <row r="2683" spans="1:1" x14ac:dyDescent="0.3">
      <c r="A2683" s="1">
        <v>46147</v>
      </c>
    </row>
    <row r="2684" spans="1:1" x14ac:dyDescent="0.3">
      <c r="A2684" s="1">
        <v>46148</v>
      </c>
    </row>
    <row r="2685" spans="1:1" x14ac:dyDescent="0.3">
      <c r="A2685" s="1">
        <v>46149</v>
      </c>
    </row>
    <row r="2686" spans="1:1" x14ac:dyDescent="0.3">
      <c r="A2686" s="1">
        <v>46150</v>
      </c>
    </row>
    <row r="2687" spans="1:1" x14ac:dyDescent="0.3">
      <c r="A2687" s="1">
        <v>46151</v>
      </c>
    </row>
    <row r="2688" spans="1:1" x14ac:dyDescent="0.3">
      <c r="A2688" s="1">
        <v>46152</v>
      </c>
    </row>
    <row r="2689" spans="1:1" x14ac:dyDescent="0.3">
      <c r="A2689" s="1">
        <v>46153</v>
      </c>
    </row>
    <row r="2690" spans="1:1" x14ac:dyDescent="0.3">
      <c r="A2690" s="1">
        <v>46154</v>
      </c>
    </row>
    <row r="2691" spans="1:1" x14ac:dyDescent="0.3">
      <c r="A2691" s="1">
        <v>46155</v>
      </c>
    </row>
    <row r="2692" spans="1:1" x14ac:dyDescent="0.3">
      <c r="A2692" s="1">
        <v>46156</v>
      </c>
    </row>
    <row r="2693" spans="1:1" x14ac:dyDescent="0.3">
      <c r="A2693" s="1">
        <v>46157</v>
      </c>
    </row>
    <row r="2694" spans="1:1" x14ac:dyDescent="0.3">
      <c r="A2694" s="1">
        <v>46158</v>
      </c>
    </row>
    <row r="2695" spans="1:1" x14ac:dyDescent="0.3">
      <c r="A2695" s="1">
        <v>46159</v>
      </c>
    </row>
    <row r="2696" spans="1:1" x14ac:dyDescent="0.3">
      <c r="A2696" s="1">
        <v>46160</v>
      </c>
    </row>
    <row r="2697" spans="1:1" x14ac:dyDescent="0.3">
      <c r="A2697" s="1">
        <v>46161</v>
      </c>
    </row>
    <row r="2698" spans="1:1" x14ac:dyDescent="0.3">
      <c r="A2698" s="1">
        <v>46162</v>
      </c>
    </row>
    <row r="2699" spans="1:1" x14ac:dyDescent="0.3">
      <c r="A2699" s="1">
        <v>46163</v>
      </c>
    </row>
    <row r="2700" spans="1:1" x14ac:dyDescent="0.3">
      <c r="A2700" s="1">
        <v>46164</v>
      </c>
    </row>
    <row r="2701" spans="1:1" x14ac:dyDescent="0.3">
      <c r="A2701" s="1">
        <v>46165</v>
      </c>
    </row>
    <row r="2702" spans="1:1" x14ac:dyDescent="0.3">
      <c r="A2702" s="1">
        <v>46166</v>
      </c>
    </row>
    <row r="2703" spans="1:1" x14ac:dyDescent="0.3">
      <c r="A2703" s="1">
        <v>46167</v>
      </c>
    </row>
    <row r="2704" spans="1:1" x14ac:dyDescent="0.3">
      <c r="A2704" s="1">
        <v>46168</v>
      </c>
    </row>
    <row r="2705" spans="1:1" x14ac:dyDescent="0.3">
      <c r="A2705" s="1">
        <v>46169</v>
      </c>
    </row>
    <row r="2706" spans="1:1" x14ac:dyDescent="0.3">
      <c r="A2706" s="1">
        <v>46170</v>
      </c>
    </row>
    <row r="2707" spans="1:1" x14ac:dyDescent="0.3">
      <c r="A2707" s="1">
        <v>46171</v>
      </c>
    </row>
    <row r="2708" spans="1:1" x14ac:dyDescent="0.3">
      <c r="A2708" s="1">
        <v>46172</v>
      </c>
    </row>
    <row r="2709" spans="1:1" x14ac:dyDescent="0.3">
      <c r="A2709" s="1">
        <v>46173</v>
      </c>
    </row>
    <row r="2710" spans="1:1" x14ac:dyDescent="0.3">
      <c r="A2710" s="1">
        <v>46174</v>
      </c>
    </row>
    <row r="2711" spans="1:1" x14ac:dyDescent="0.3">
      <c r="A2711" s="1">
        <v>46175</v>
      </c>
    </row>
    <row r="2712" spans="1:1" x14ac:dyDescent="0.3">
      <c r="A2712" s="1">
        <v>46176</v>
      </c>
    </row>
    <row r="2713" spans="1:1" x14ac:dyDescent="0.3">
      <c r="A2713" s="1">
        <v>46177</v>
      </c>
    </row>
    <row r="2714" spans="1:1" x14ac:dyDescent="0.3">
      <c r="A2714" s="1">
        <v>46178</v>
      </c>
    </row>
    <row r="2715" spans="1:1" x14ac:dyDescent="0.3">
      <c r="A2715" s="1">
        <v>46179</v>
      </c>
    </row>
    <row r="2716" spans="1:1" x14ac:dyDescent="0.3">
      <c r="A2716" s="1">
        <v>46180</v>
      </c>
    </row>
    <row r="2717" spans="1:1" x14ac:dyDescent="0.3">
      <c r="A2717" s="1">
        <v>46181</v>
      </c>
    </row>
    <row r="2718" spans="1:1" x14ac:dyDescent="0.3">
      <c r="A2718" s="1">
        <v>46182</v>
      </c>
    </row>
    <row r="2719" spans="1:1" x14ac:dyDescent="0.3">
      <c r="A2719" s="1">
        <v>46183</v>
      </c>
    </row>
    <row r="2720" spans="1:1" x14ac:dyDescent="0.3">
      <c r="A2720" s="1">
        <v>46184</v>
      </c>
    </row>
    <row r="2721" spans="1:1" x14ac:dyDescent="0.3">
      <c r="A2721" s="1">
        <v>46185</v>
      </c>
    </row>
    <row r="2722" spans="1:1" x14ac:dyDescent="0.3">
      <c r="A2722" s="1">
        <v>46186</v>
      </c>
    </row>
    <row r="2723" spans="1:1" x14ac:dyDescent="0.3">
      <c r="A2723" s="1">
        <v>46187</v>
      </c>
    </row>
    <row r="2724" spans="1:1" x14ac:dyDescent="0.3">
      <c r="A2724" s="1">
        <v>46188</v>
      </c>
    </row>
    <row r="2725" spans="1:1" x14ac:dyDescent="0.3">
      <c r="A2725" s="1">
        <v>46189</v>
      </c>
    </row>
    <row r="2726" spans="1:1" x14ac:dyDescent="0.3">
      <c r="A2726" s="1">
        <v>46190</v>
      </c>
    </row>
    <row r="2727" spans="1:1" x14ac:dyDescent="0.3">
      <c r="A2727" s="1">
        <v>46191</v>
      </c>
    </row>
    <row r="2728" spans="1:1" x14ac:dyDescent="0.3">
      <c r="A2728" s="1">
        <v>46192</v>
      </c>
    </row>
    <row r="2729" spans="1:1" x14ac:dyDescent="0.3">
      <c r="A2729" s="1">
        <v>46193</v>
      </c>
    </row>
    <row r="2730" spans="1:1" x14ac:dyDescent="0.3">
      <c r="A2730" s="1">
        <v>46194</v>
      </c>
    </row>
    <row r="2731" spans="1:1" x14ac:dyDescent="0.3">
      <c r="A2731" s="1">
        <v>46195</v>
      </c>
    </row>
    <row r="2732" spans="1:1" x14ac:dyDescent="0.3">
      <c r="A2732" s="1">
        <v>46196</v>
      </c>
    </row>
    <row r="2733" spans="1:1" x14ac:dyDescent="0.3">
      <c r="A2733" s="1">
        <v>46197</v>
      </c>
    </row>
    <row r="2734" spans="1:1" x14ac:dyDescent="0.3">
      <c r="A2734" s="1">
        <v>46198</v>
      </c>
    </row>
    <row r="2735" spans="1:1" x14ac:dyDescent="0.3">
      <c r="A2735" s="1">
        <v>46199</v>
      </c>
    </row>
    <row r="2736" spans="1:1" x14ac:dyDescent="0.3">
      <c r="A2736" s="1">
        <v>46200</v>
      </c>
    </row>
    <row r="2737" spans="1:1" x14ac:dyDescent="0.3">
      <c r="A2737" s="1">
        <v>46201</v>
      </c>
    </row>
    <row r="2738" spans="1:1" x14ac:dyDescent="0.3">
      <c r="A2738" s="1">
        <v>46202</v>
      </c>
    </row>
    <row r="2739" spans="1:1" x14ac:dyDescent="0.3">
      <c r="A2739" s="1">
        <v>46203</v>
      </c>
    </row>
    <row r="2740" spans="1:1" x14ac:dyDescent="0.3">
      <c r="A2740" s="1">
        <v>46204</v>
      </c>
    </row>
    <row r="2741" spans="1:1" x14ac:dyDescent="0.3">
      <c r="A2741" s="1">
        <v>46205</v>
      </c>
    </row>
    <row r="2742" spans="1:1" x14ac:dyDescent="0.3">
      <c r="A2742" s="1">
        <v>46206</v>
      </c>
    </row>
    <row r="2743" spans="1:1" x14ac:dyDescent="0.3">
      <c r="A2743" s="1">
        <v>46207</v>
      </c>
    </row>
    <row r="2744" spans="1:1" x14ac:dyDescent="0.3">
      <c r="A2744" s="1">
        <v>46208</v>
      </c>
    </row>
    <row r="2745" spans="1:1" x14ac:dyDescent="0.3">
      <c r="A2745" s="1">
        <v>46209</v>
      </c>
    </row>
    <row r="2746" spans="1:1" x14ac:dyDescent="0.3">
      <c r="A2746" s="1">
        <v>46210</v>
      </c>
    </row>
    <row r="2747" spans="1:1" x14ac:dyDescent="0.3">
      <c r="A2747" s="1">
        <v>46211</v>
      </c>
    </row>
    <row r="2748" spans="1:1" x14ac:dyDescent="0.3">
      <c r="A2748" s="1">
        <v>46212</v>
      </c>
    </row>
    <row r="2749" spans="1:1" x14ac:dyDescent="0.3">
      <c r="A2749" s="1">
        <v>46213</v>
      </c>
    </row>
    <row r="2750" spans="1:1" x14ac:dyDescent="0.3">
      <c r="A2750" s="1">
        <v>46214</v>
      </c>
    </row>
    <row r="2751" spans="1:1" x14ac:dyDescent="0.3">
      <c r="A2751" s="1">
        <v>46215</v>
      </c>
    </row>
    <row r="2752" spans="1:1" x14ac:dyDescent="0.3">
      <c r="A2752" s="1">
        <v>46216</v>
      </c>
    </row>
    <row r="2753" spans="1:1" x14ac:dyDescent="0.3">
      <c r="A2753" s="1">
        <v>46217</v>
      </c>
    </row>
    <row r="2754" spans="1:1" x14ac:dyDescent="0.3">
      <c r="A2754" s="1">
        <v>46218</v>
      </c>
    </row>
    <row r="2755" spans="1:1" x14ac:dyDescent="0.3">
      <c r="A2755" s="1">
        <v>46219</v>
      </c>
    </row>
    <row r="2756" spans="1:1" x14ac:dyDescent="0.3">
      <c r="A2756" s="1">
        <v>46220</v>
      </c>
    </row>
    <row r="2757" spans="1:1" x14ac:dyDescent="0.3">
      <c r="A2757" s="1">
        <v>46221</v>
      </c>
    </row>
    <row r="2758" spans="1:1" x14ac:dyDescent="0.3">
      <c r="A2758" s="1">
        <v>46222</v>
      </c>
    </row>
    <row r="2759" spans="1:1" x14ac:dyDescent="0.3">
      <c r="A2759" s="1">
        <v>46223</v>
      </c>
    </row>
    <row r="2760" spans="1:1" x14ac:dyDescent="0.3">
      <c r="A2760" s="1">
        <v>46224</v>
      </c>
    </row>
    <row r="2761" spans="1:1" x14ac:dyDescent="0.3">
      <c r="A2761" s="1">
        <v>46225</v>
      </c>
    </row>
    <row r="2762" spans="1:1" x14ac:dyDescent="0.3">
      <c r="A2762" s="1">
        <v>46226</v>
      </c>
    </row>
    <row r="2763" spans="1:1" x14ac:dyDescent="0.3">
      <c r="A2763" s="1">
        <v>46227</v>
      </c>
    </row>
    <row r="2764" spans="1:1" x14ac:dyDescent="0.3">
      <c r="A2764" s="1">
        <v>46228</v>
      </c>
    </row>
    <row r="2765" spans="1:1" x14ac:dyDescent="0.3">
      <c r="A2765" s="1">
        <v>46229</v>
      </c>
    </row>
    <row r="2766" spans="1:1" x14ac:dyDescent="0.3">
      <c r="A2766" s="1">
        <v>46230</v>
      </c>
    </row>
    <row r="2767" spans="1:1" x14ac:dyDescent="0.3">
      <c r="A2767" s="1">
        <v>46231</v>
      </c>
    </row>
    <row r="2768" spans="1:1" x14ac:dyDescent="0.3">
      <c r="A2768" s="1">
        <v>46232</v>
      </c>
    </row>
    <row r="2769" spans="1:1" x14ac:dyDescent="0.3">
      <c r="A2769" s="1">
        <v>46233</v>
      </c>
    </row>
    <row r="2770" spans="1:1" x14ac:dyDescent="0.3">
      <c r="A2770" s="1">
        <v>46234</v>
      </c>
    </row>
    <row r="2771" spans="1:1" x14ac:dyDescent="0.3">
      <c r="A2771" s="1">
        <v>46235</v>
      </c>
    </row>
    <row r="2772" spans="1:1" x14ac:dyDescent="0.3">
      <c r="A2772" s="1">
        <v>46236</v>
      </c>
    </row>
    <row r="2773" spans="1:1" x14ac:dyDescent="0.3">
      <c r="A2773" s="1">
        <v>46237</v>
      </c>
    </row>
    <row r="2774" spans="1:1" x14ac:dyDescent="0.3">
      <c r="A2774" s="1">
        <v>46238</v>
      </c>
    </row>
    <row r="2775" spans="1:1" x14ac:dyDescent="0.3">
      <c r="A2775" s="1">
        <v>46239</v>
      </c>
    </row>
    <row r="2776" spans="1:1" x14ac:dyDescent="0.3">
      <c r="A2776" s="1">
        <v>46240</v>
      </c>
    </row>
    <row r="2777" spans="1:1" x14ac:dyDescent="0.3">
      <c r="A2777" s="1">
        <v>46241</v>
      </c>
    </row>
    <row r="2778" spans="1:1" x14ac:dyDescent="0.3">
      <c r="A2778" s="1">
        <v>46242</v>
      </c>
    </row>
    <row r="2779" spans="1:1" x14ac:dyDescent="0.3">
      <c r="A2779" s="1">
        <v>46243</v>
      </c>
    </row>
    <row r="2780" spans="1:1" x14ac:dyDescent="0.3">
      <c r="A2780" s="1">
        <v>46244</v>
      </c>
    </row>
    <row r="2781" spans="1:1" x14ac:dyDescent="0.3">
      <c r="A2781" s="1">
        <v>46245</v>
      </c>
    </row>
    <row r="2782" spans="1:1" x14ac:dyDescent="0.3">
      <c r="A2782" s="1">
        <v>46246</v>
      </c>
    </row>
    <row r="2783" spans="1:1" x14ac:dyDescent="0.3">
      <c r="A2783" s="1">
        <v>46247</v>
      </c>
    </row>
    <row r="2784" spans="1:1" x14ac:dyDescent="0.3">
      <c r="A2784" s="1">
        <v>46248</v>
      </c>
    </row>
    <row r="2785" spans="1:1" x14ac:dyDescent="0.3">
      <c r="A2785" s="1">
        <v>46249</v>
      </c>
    </row>
    <row r="2786" spans="1:1" x14ac:dyDescent="0.3">
      <c r="A2786" s="1">
        <v>46250</v>
      </c>
    </row>
    <row r="2787" spans="1:1" x14ac:dyDescent="0.3">
      <c r="A2787" s="1">
        <v>46251</v>
      </c>
    </row>
    <row r="2788" spans="1:1" x14ac:dyDescent="0.3">
      <c r="A2788" s="1">
        <v>46252</v>
      </c>
    </row>
    <row r="2789" spans="1:1" x14ac:dyDescent="0.3">
      <c r="A2789" s="1">
        <v>46253</v>
      </c>
    </row>
    <row r="2790" spans="1:1" x14ac:dyDescent="0.3">
      <c r="A2790" s="1">
        <v>46254</v>
      </c>
    </row>
    <row r="2791" spans="1:1" x14ac:dyDescent="0.3">
      <c r="A2791" s="1">
        <v>46255</v>
      </c>
    </row>
    <row r="2792" spans="1:1" x14ac:dyDescent="0.3">
      <c r="A2792" s="1">
        <v>46256</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72262-9F2E-4A12-B8EB-A5CDF4B788AF}">
  <dimension ref="A2:D90"/>
  <sheetViews>
    <sheetView workbookViewId="0">
      <selection activeCell="R12" sqref="R12"/>
    </sheetView>
  </sheetViews>
  <sheetFormatPr defaultRowHeight="14.4" x14ac:dyDescent="0.3"/>
  <cols>
    <col min="1" max="1" width="24.21875" bestFit="1" customWidth="1"/>
    <col min="2" max="2" width="22.6640625" bestFit="1" customWidth="1"/>
    <col min="3" max="4" width="14.4414062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 min="14" max="14" width="10.77734375" bestFit="1" customWidth="1"/>
    <col min="15" max="91" width="15.5546875" bestFit="1" customWidth="1"/>
    <col min="92" max="92" width="10.77734375" bestFit="1" customWidth="1"/>
    <col min="93" max="2756" width="15.5546875" bestFit="1" customWidth="1"/>
    <col min="2757" max="2757" width="10.77734375" bestFit="1" customWidth="1"/>
  </cols>
  <sheetData>
    <row r="2" spans="1:2" x14ac:dyDescent="0.3">
      <c r="A2" s="7" t="s">
        <v>198</v>
      </c>
    </row>
    <row r="3" spans="1:2" x14ac:dyDescent="0.3">
      <c r="A3" s="4" t="s">
        <v>196</v>
      </c>
      <c r="B3" t="s">
        <v>197</v>
      </c>
    </row>
    <row r="4" spans="1:2" x14ac:dyDescent="0.3">
      <c r="A4" s="5" t="s">
        <v>182</v>
      </c>
      <c r="B4" s="16"/>
    </row>
    <row r="5" spans="1:2" x14ac:dyDescent="0.3">
      <c r="A5" s="6" t="s">
        <v>184</v>
      </c>
      <c r="B5" s="16">
        <v>1493859800</v>
      </c>
    </row>
    <row r="6" spans="1:2" x14ac:dyDescent="0.3">
      <c r="A6" s="6" t="s">
        <v>185</v>
      </c>
      <c r="B6" s="16">
        <v>2414098600</v>
      </c>
    </row>
    <row r="7" spans="1:2" x14ac:dyDescent="0.3">
      <c r="A7" s="6" t="s">
        <v>186</v>
      </c>
      <c r="B7" s="16">
        <v>1699243000</v>
      </c>
    </row>
    <row r="8" spans="1:2" x14ac:dyDescent="0.3">
      <c r="A8" s="6" t="s">
        <v>187</v>
      </c>
      <c r="B8" s="16">
        <v>1141446000</v>
      </c>
    </row>
    <row r="9" spans="1:2" x14ac:dyDescent="0.3">
      <c r="A9" s="6" t="s">
        <v>188</v>
      </c>
      <c r="B9" s="16">
        <v>2592779400</v>
      </c>
    </row>
    <row r="10" spans="1:2" x14ac:dyDescent="0.3">
      <c r="A10" s="6" t="s">
        <v>189</v>
      </c>
      <c r="B10" s="16">
        <v>3585608350</v>
      </c>
    </row>
    <row r="11" spans="1:2" x14ac:dyDescent="0.3">
      <c r="A11" s="6" t="s">
        <v>190</v>
      </c>
      <c r="B11" s="16">
        <v>1809156500</v>
      </c>
    </row>
    <row r="12" spans="1:2" x14ac:dyDescent="0.3">
      <c r="A12" s="6" t="s">
        <v>191</v>
      </c>
      <c r="B12" s="16">
        <v>1523318525</v>
      </c>
    </row>
    <row r="13" spans="1:2" x14ac:dyDescent="0.3">
      <c r="A13" s="6" t="s">
        <v>192</v>
      </c>
      <c r="B13" s="16">
        <v>1061298100</v>
      </c>
    </row>
    <row r="14" spans="1:2" x14ac:dyDescent="0.3">
      <c r="A14" s="6" t="s">
        <v>193</v>
      </c>
      <c r="B14" s="16">
        <v>859581660</v>
      </c>
    </row>
    <row r="15" spans="1:2" x14ac:dyDescent="0.3">
      <c r="A15" s="6" t="s">
        <v>194</v>
      </c>
      <c r="B15" s="16">
        <v>2071575425</v>
      </c>
    </row>
    <row r="16" spans="1:2" x14ac:dyDescent="0.3">
      <c r="A16" s="6" t="s">
        <v>195</v>
      </c>
      <c r="B16" s="16">
        <v>1654545698</v>
      </c>
    </row>
    <row r="17" spans="1:3" x14ac:dyDescent="0.3">
      <c r="A17" s="5" t="s">
        <v>183</v>
      </c>
      <c r="B17" s="16"/>
    </row>
    <row r="18" spans="1:3" x14ac:dyDescent="0.3">
      <c r="A18" s="6" t="s">
        <v>184</v>
      </c>
      <c r="B18" s="16">
        <v>565074784</v>
      </c>
    </row>
    <row r="19" spans="1:3" x14ac:dyDescent="0.3">
      <c r="A19" s="6" t="s">
        <v>185</v>
      </c>
      <c r="B19" s="16">
        <v>1266581960</v>
      </c>
    </row>
    <row r="20" spans="1:3" x14ac:dyDescent="0.3">
      <c r="A20" s="6" t="s">
        <v>186</v>
      </c>
      <c r="B20" s="16">
        <v>250824060</v>
      </c>
    </row>
    <row r="21" spans="1:3" x14ac:dyDescent="0.3">
      <c r="A21" s="6" t="s">
        <v>187</v>
      </c>
      <c r="B21" s="16">
        <v>888323470</v>
      </c>
    </row>
    <row r="22" spans="1:3" x14ac:dyDescent="0.3">
      <c r="A22" s="5" t="s">
        <v>181</v>
      </c>
      <c r="B22" s="13">
        <v>24877315332</v>
      </c>
    </row>
    <row r="24" spans="1:3" x14ac:dyDescent="0.3">
      <c r="A24" s="7" t="s">
        <v>199</v>
      </c>
    </row>
    <row r="25" spans="1:3" x14ac:dyDescent="0.3">
      <c r="A25" s="4" t="s">
        <v>196</v>
      </c>
      <c r="B25" t="s">
        <v>221</v>
      </c>
      <c r="C25" t="s">
        <v>222</v>
      </c>
    </row>
    <row r="26" spans="1:3" x14ac:dyDescent="0.3">
      <c r="A26" s="5" t="s">
        <v>182</v>
      </c>
      <c r="B26" s="16"/>
      <c r="C26" s="16"/>
    </row>
    <row r="27" spans="1:3" x14ac:dyDescent="0.3">
      <c r="A27" s="6" t="s">
        <v>184</v>
      </c>
      <c r="B27" s="16">
        <v>130456</v>
      </c>
      <c r="C27" s="16">
        <v>355778</v>
      </c>
    </row>
    <row r="28" spans="1:3" x14ac:dyDescent="0.3">
      <c r="A28" s="6" t="s">
        <v>185</v>
      </c>
      <c r="B28" s="16">
        <v>225418</v>
      </c>
      <c r="C28" s="16">
        <v>108664</v>
      </c>
    </row>
    <row r="29" spans="1:3" x14ac:dyDescent="0.3">
      <c r="A29" s="6" t="s">
        <v>186</v>
      </c>
      <c r="B29" s="16">
        <v>155890</v>
      </c>
      <c r="C29" s="16">
        <v>138180</v>
      </c>
    </row>
    <row r="30" spans="1:3" x14ac:dyDescent="0.3">
      <c r="A30" s="6" t="s">
        <v>187</v>
      </c>
      <c r="B30" s="16">
        <v>77490</v>
      </c>
      <c r="C30" s="16">
        <v>50160</v>
      </c>
    </row>
    <row r="31" spans="1:3" x14ac:dyDescent="0.3">
      <c r="A31" s="6" t="s">
        <v>188</v>
      </c>
      <c r="B31" s="16">
        <v>252304</v>
      </c>
      <c r="C31" s="16">
        <v>451000</v>
      </c>
    </row>
    <row r="32" spans="1:3" x14ac:dyDescent="0.3">
      <c r="A32" s="6" t="s">
        <v>189</v>
      </c>
      <c r="B32" s="16">
        <v>315018</v>
      </c>
      <c r="C32" s="16">
        <v>425300</v>
      </c>
    </row>
    <row r="33" spans="1:3" x14ac:dyDescent="0.3">
      <c r="A33" s="6" t="s">
        <v>190</v>
      </c>
      <c r="B33" s="16">
        <v>173516</v>
      </c>
      <c r="C33" s="16">
        <v>151075</v>
      </c>
    </row>
    <row r="34" spans="1:3" x14ac:dyDescent="0.3">
      <c r="A34" s="6" t="s">
        <v>191</v>
      </c>
      <c r="B34" s="16">
        <v>145637</v>
      </c>
      <c r="C34" s="16">
        <v>100074</v>
      </c>
    </row>
    <row r="35" spans="1:3" x14ac:dyDescent="0.3">
      <c r="A35" s="6" t="s">
        <v>192</v>
      </c>
      <c r="B35" s="16">
        <v>98316</v>
      </c>
      <c r="C35" s="16">
        <v>55100</v>
      </c>
    </row>
    <row r="36" spans="1:3" x14ac:dyDescent="0.3">
      <c r="A36" s="6" t="s">
        <v>193</v>
      </c>
      <c r="B36" s="16">
        <v>79289</v>
      </c>
      <c r="C36" s="16">
        <v>104075</v>
      </c>
    </row>
    <row r="37" spans="1:3" x14ac:dyDescent="0.3">
      <c r="A37" s="6" t="s">
        <v>194</v>
      </c>
      <c r="B37" s="16">
        <v>190363</v>
      </c>
      <c r="C37" s="16">
        <v>165500</v>
      </c>
    </row>
    <row r="38" spans="1:3" x14ac:dyDescent="0.3">
      <c r="A38" s="6" t="s">
        <v>195</v>
      </c>
      <c r="B38" s="16">
        <v>150624</v>
      </c>
      <c r="C38" s="16">
        <v>86000</v>
      </c>
    </row>
    <row r="39" spans="1:3" x14ac:dyDescent="0.3">
      <c r="A39" s="5" t="s">
        <v>183</v>
      </c>
      <c r="B39" s="16"/>
      <c r="C39" s="16"/>
    </row>
    <row r="40" spans="1:3" x14ac:dyDescent="0.3">
      <c r="A40" s="6" t="s">
        <v>184</v>
      </c>
      <c r="B40" s="16">
        <v>41202</v>
      </c>
      <c r="C40" s="16">
        <v>54000</v>
      </c>
    </row>
    <row r="41" spans="1:3" x14ac:dyDescent="0.3">
      <c r="A41" s="6" t="s">
        <v>185</v>
      </c>
      <c r="B41" s="16">
        <v>109590</v>
      </c>
      <c r="C41" s="16">
        <v>1500</v>
      </c>
    </row>
    <row r="42" spans="1:3" x14ac:dyDescent="0.3">
      <c r="A42" s="6" t="s">
        <v>186</v>
      </c>
      <c r="B42" s="16">
        <v>11154</v>
      </c>
      <c r="C42" s="16">
        <v>101500</v>
      </c>
    </row>
    <row r="43" spans="1:3" x14ac:dyDescent="0.3">
      <c r="A43" s="6" t="s">
        <v>187</v>
      </c>
      <c r="B43" s="16">
        <v>80230</v>
      </c>
      <c r="C43" s="16"/>
    </row>
    <row r="44" spans="1:3" x14ac:dyDescent="0.3">
      <c r="A44" s="5" t="s">
        <v>181</v>
      </c>
      <c r="B44" s="16">
        <v>2236497</v>
      </c>
      <c r="C44" s="16">
        <v>2347906</v>
      </c>
    </row>
    <row r="46" spans="1:3" x14ac:dyDescent="0.3">
      <c r="A46" s="7" t="s">
        <v>202</v>
      </c>
    </row>
    <row r="47" spans="1:3" x14ac:dyDescent="0.3">
      <c r="A47" s="4" t="s">
        <v>196</v>
      </c>
      <c r="B47" t="s">
        <v>222</v>
      </c>
      <c r="C47" t="s">
        <v>221</v>
      </c>
    </row>
    <row r="48" spans="1:3" x14ac:dyDescent="0.3">
      <c r="A48" s="5" t="s">
        <v>4</v>
      </c>
      <c r="B48" s="16">
        <v>1975258</v>
      </c>
      <c r="C48" s="16">
        <v>1965258</v>
      </c>
    </row>
    <row r="49" spans="1:3" x14ac:dyDescent="0.3">
      <c r="A49" s="5" t="s">
        <v>5</v>
      </c>
      <c r="B49" s="16">
        <v>16500</v>
      </c>
      <c r="C49" s="16">
        <v>15635</v>
      </c>
    </row>
    <row r="50" spans="1:3" x14ac:dyDescent="0.3">
      <c r="A50" s="5" t="s">
        <v>3</v>
      </c>
      <c r="B50" s="16">
        <v>322000</v>
      </c>
      <c r="C50" s="16">
        <v>223436</v>
      </c>
    </row>
    <row r="51" spans="1:3" x14ac:dyDescent="0.3">
      <c r="A51" s="5" t="s">
        <v>6</v>
      </c>
      <c r="B51" s="16">
        <v>25648</v>
      </c>
      <c r="C51" s="16">
        <v>24148</v>
      </c>
    </row>
    <row r="52" spans="1:3" x14ac:dyDescent="0.3">
      <c r="A52" s="5" t="s">
        <v>7</v>
      </c>
      <c r="B52" s="16">
        <v>8500</v>
      </c>
      <c r="C52" s="16">
        <v>8020</v>
      </c>
    </row>
    <row r="53" spans="1:3" x14ac:dyDescent="0.3">
      <c r="A53" s="5" t="s">
        <v>181</v>
      </c>
      <c r="B53" s="16">
        <v>2347906</v>
      </c>
      <c r="C53" s="16">
        <v>2236497</v>
      </c>
    </row>
    <row r="62" spans="1:3" x14ac:dyDescent="0.3">
      <c r="A62" s="7" t="s">
        <v>203</v>
      </c>
    </row>
    <row r="63" spans="1:3" x14ac:dyDescent="0.3">
      <c r="A63" s="4" t="s">
        <v>196</v>
      </c>
      <c r="B63" t="s">
        <v>221</v>
      </c>
      <c r="C63" t="s">
        <v>197</v>
      </c>
    </row>
    <row r="64" spans="1:3" x14ac:dyDescent="0.3">
      <c r="A64" s="5" t="s">
        <v>121</v>
      </c>
      <c r="B64" s="16">
        <v>38100</v>
      </c>
      <c r="C64" s="16">
        <v>401352500</v>
      </c>
    </row>
    <row r="65" spans="1:3" x14ac:dyDescent="0.3">
      <c r="A65" s="5" t="s">
        <v>73</v>
      </c>
      <c r="B65" s="16">
        <v>186265</v>
      </c>
      <c r="C65" s="16">
        <v>1955568240</v>
      </c>
    </row>
    <row r="66" spans="1:3" x14ac:dyDescent="0.3">
      <c r="A66" s="5" t="s">
        <v>94</v>
      </c>
      <c r="B66" s="16">
        <v>43230</v>
      </c>
      <c r="C66" s="16">
        <v>456947700</v>
      </c>
    </row>
    <row r="67" spans="1:3" x14ac:dyDescent="0.3">
      <c r="A67" s="5" t="s">
        <v>117</v>
      </c>
      <c r="B67" s="16">
        <v>91000</v>
      </c>
      <c r="C67" s="16">
        <v>968623080</v>
      </c>
    </row>
    <row r="68" spans="1:3" x14ac:dyDescent="0.3">
      <c r="A68" s="5" t="s">
        <v>103</v>
      </c>
      <c r="B68" s="16">
        <v>130900</v>
      </c>
      <c r="C68" s="16">
        <v>1394936500</v>
      </c>
    </row>
    <row r="69" spans="1:3" x14ac:dyDescent="0.3">
      <c r="A69" s="5" t="s">
        <v>59</v>
      </c>
      <c r="B69" s="16">
        <v>200000</v>
      </c>
      <c r="C69" s="16">
        <v>2047000000</v>
      </c>
    </row>
    <row r="70" spans="1:3" x14ac:dyDescent="0.3">
      <c r="A70" s="5" t="s">
        <v>98</v>
      </c>
      <c r="B70" s="16">
        <v>41000</v>
      </c>
      <c r="C70" s="16">
        <v>430245000</v>
      </c>
    </row>
    <row r="71" spans="1:3" x14ac:dyDescent="0.3">
      <c r="A71" s="5" t="s">
        <v>137</v>
      </c>
      <c r="B71" s="16">
        <v>50000</v>
      </c>
      <c r="C71" s="16">
        <v>525000000</v>
      </c>
    </row>
    <row r="72" spans="1:3" x14ac:dyDescent="0.3">
      <c r="A72" s="5" t="s">
        <v>101</v>
      </c>
      <c r="B72" s="16">
        <v>42000</v>
      </c>
      <c r="C72" s="16">
        <v>440962500</v>
      </c>
    </row>
    <row r="73" spans="1:3" x14ac:dyDescent="0.3">
      <c r="A73" s="5" t="s">
        <v>173</v>
      </c>
      <c r="B73" s="16">
        <v>50110</v>
      </c>
      <c r="C73" s="16">
        <v>539014900</v>
      </c>
    </row>
    <row r="74" spans="1:3" x14ac:dyDescent="0.3">
      <c r="A74" s="5" t="s">
        <v>181</v>
      </c>
      <c r="B74" s="16">
        <v>872605</v>
      </c>
      <c r="C74" s="16">
        <v>9159650420</v>
      </c>
    </row>
    <row r="76" spans="1:3" x14ac:dyDescent="0.3">
      <c r="A76" s="8" t="s">
        <v>204</v>
      </c>
    </row>
    <row r="77" spans="1:3" x14ac:dyDescent="0.3">
      <c r="A77" t="s">
        <v>205</v>
      </c>
      <c r="B77" t="s">
        <v>206</v>
      </c>
    </row>
    <row r="78" spans="1:3" x14ac:dyDescent="0.3">
      <c r="A78" s="16">
        <v>5</v>
      </c>
      <c r="B78">
        <f>GETPIVOTDATA("nama.barang",$A$77)</f>
        <v>5</v>
      </c>
    </row>
    <row r="80" spans="1:3" x14ac:dyDescent="0.3">
      <c r="A80" s="7" t="s">
        <v>207</v>
      </c>
    </row>
    <row r="81" spans="1:4" x14ac:dyDescent="0.3">
      <c r="A81" t="s">
        <v>200</v>
      </c>
      <c r="B81" t="s">
        <v>208</v>
      </c>
    </row>
    <row r="82" spans="1:4" x14ac:dyDescent="0.3">
      <c r="A82" s="9">
        <v>2347906</v>
      </c>
      <c r="B82" s="10">
        <f>GETPIVOTDATA("kuantum",$A$81)</f>
        <v>2347906</v>
      </c>
    </row>
    <row r="83" spans="1:4" x14ac:dyDescent="0.3">
      <c r="D83" s="7" t="s">
        <v>212</v>
      </c>
    </row>
    <row r="84" spans="1:4" x14ac:dyDescent="0.3">
      <c r="A84" s="7" t="s">
        <v>209</v>
      </c>
      <c r="D84" s="12">
        <f>B86/B82</f>
        <v>0.9525496335883975</v>
      </c>
    </row>
    <row r="85" spans="1:4" x14ac:dyDescent="0.3">
      <c r="A85" t="s">
        <v>201</v>
      </c>
      <c r="B85" t="s">
        <v>209</v>
      </c>
    </row>
    <row r="86" spans="1:4" x14ac:dyDescent="0.3">
      <c r="A86" s="9">
        <v>2236497</v>
      </c>
      <c r="B86" s="10">
        <f>GETPIVOTDATA("kuantum",$A$85)</f>
        <v>2236497</v>
      </c>
    </row>
    <row r="88" spans="1:4" x14ac:dyDescent="0.3">
      <c r="A88" s="7" t="s">
        <v>210</v>
      </c>
    </row>
    <row r="89" spans="1:4" x14ac:dyDescent="0.3">
      <c r="A89" t="s">
        <v>197</v>
      </c>
      <c r="B89" t="s">
        <v>211</v>
      </c>
    </row>
    <row r="90" spans="1:4" x14ac:dyDescent="0.3">
      <c r="A90" s="11">
        <v>24877315332</v>
      </c>
      <c r="B90" s="11">
        <f>GETPIVOTDATA("nominal",$A$89)</f>
        <v>24877315332</v>
      </c>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1EFCB-210E-4C7C-A500-5861496E45BD}">
  <dimension ref="R10:T22"/>
  <sheetViews>
    <sheetView showGridLines="0" tabSelected="1" zoomScaleNormal="100" workbookViewId="0">
      <selection activeCell="W8" sqref="W8"/>
    </sheetView>
  </sheetViews>
  <sheetFormatPr defaultRowHeight="14.4" x14ac:dyDescent="0.3"/>
  <cols>
    <col min="18" max="18" width="24.21875" bestFit="1" customWidth="1"/>
    <col min="19" max="19" width="8.77734375" bestFit="1" customWidth="1"/>
    <col min="20" max="20" width="15.88671875" bestFit="1" customWidth="1"/>
  </cols>
  <sheetData>
    <row r="10" spans="18:20" ht="18" x14ac:dyDescent="0.35">
      <c r="R10" s="14" t="s">
        <v>216</v>
      </c>
    </row>
    <row r="12" spans="18:20" x14ac:dyDescent="0.3">
      <c r="R12" s="4" t="s">
        <v>215</v>
      </c>
      <c r="S12" t="s">
        <v>213</v>
      </c>
      <c r="T12" t="s">
        <v>214</v>
      </c>
    </row>
    <row r="13" spans="18:20" x14ac:dyDescent="0.3">
      <c r="R13" t="s">
        <v>121</v>
      </c>
      <c r="S13" s="16">
        <v>38100</v>
      </c>
      <c r="T13" s="15">
        <v>401352500</v>
      </c>
    </row>
    <row r="14" spans="18:20" x14ac:dyDescent="0.3">
      <c r="R14" t="s">
        <v>73</v>
      </c>
      <c r="S14" s="16">
        <v>186265</v>
      </c>
      <c r="T14" s="15">
        <v>1955568240</v>
      </c>
    </row>
    <row r="15" spans="18:20" x14ac:dyDescent="0.3">
      <c r="R15" t="s">
        <v>94</v>
      </c>
      <c r="S15" s="16">
        <v>43230</v>
      </c>
      <c r="T15" s="15">
        <v>456947700</v>
      </c>
    </row>
    <row r="16" spans="18:20" x14ac:dyDescent="0.3">
      <c r="R16" t="s">
        <v>117</v>
      </c>
      <c r="S16" s="16">
        <v>91000</v>
      </c>
      <c r="T16" s="15">
        <v>968623080</v>
      </c>
    </row>
    <row r="17" spans="18:20" x14ac:dyDescent="0.3">
      <c r="R17" t="s">
        <v>103</v>
      </c>
      <c r="S17" s="16">
        <v>130900</v>
      </c>
      <c r="T17" s="15">
        <v>1394936500</v>
      </c>
    </row>
    <row r="18" spans="18:20" x14ac:dyDescent="0.3">
      <c r="R18" t="s">
        <v>59</v>
      </c>
      <c r="S18" s="16">
        <v>200000</v>
      </c>
      <c r="T18" s="15">
        <v>2047000000</v>
      </c>
    </row>
    <row r="19" spans="18:20" x14ac:dyDescent="0.3">
      <c r="R19" t="s">
        <v>98</v>
      </c>
      <c r="S19" s="16">
        <v>41000</v>
      </c>
      <c r="T19" s="15">
        <v>430245000</v>
      </c>
    </row>
    <row r="20" spans="18:20" x14ac:dyDescent="0.3">
      <c r="R20" t="s">
        <v>137</v>
      </c>
      <c r="S20" s="16">
        <v>50000</v>
      </c>
      <c r="T20" s="15">
        <v>525000000</v>
      </c>
    </row>
    <row r="21" spans="18:20" x14ac:dyDescent="0.3">
      <c r="R21" t="s">
        <v>101</v>
      </c>
      <c r="S21" s="16">
        <v>42000</v>
      </c>
      <c r="T21" s="15">
        <v>440962500</v>
      </c>
    </row>
    <row r="22" spans="18:20" x14ac:dyDescent="0.3">
      <c r="R22" t="s">
        <v>173</v>
      </c>
      <c r="S22" s="16">
        <v>50110</v>
      </c>
      <c r="T22" s="15">
        <v>539014900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4C1DC40-1BD4-4ACF-AF98-651A79DFFA05}">
  <ds:schemaRefs/>
</ds:datastoreItem>
</file>

<file path=customXml/itemProps2.xml><?xml version="1.0" encoding="utf-8"?>
<ds:datastoreItem xmlns:ds="http://schemas.openxmlformats.org/officeDocument/2006/customXml" ds:itemID="{23A737CE-E0DD-4F7A-9DAF-3330C6EAD042}">
  <ds:schemaRefs/>
</ds:datastoreItem>
</file>

<file path=customXml/itemProps3.xml><?xml version="1.0" encoding="utf-8"?>
<ds:datastoreItem xmlns:ds="http://schemas.openxmlformats.org/officeDocument/2006/customXml" ds:itemID="{FF6FED1D-3F0A-41A4-B567-125994BC082B}">
  <ds:schemaRefs/>
</ds:datastoreItem>
</file>

<file path=customXml/itemProps4.xml><?xml version="1.0" encoding="utf-8"?>
<ds:datastoreItem xmlns:ds="http://schemas.openxmlformats.org/officeDocument/2006/customXml" ds:itemID="{34645993-8485-4175-8760-E78A51442433}">
  <ds:schemaRefs/>
</ds:datastoreItem>
</file>

<file path=customXml/itemProps5.xml><?xml version="1.0" encoding="utf-8"?>
<ds:datastoreItem xmlns:ds="http://schemas.openxmlformats.org/officeDocument/2006/customXml" ds:itemID="{11A18233-76E6-4199-93EB-AE89196D313D}">
  <ds:schemaRefs/>
</ds:datastoreItem>
</file>

<file path=customXml/itemProps6.xml><?xml version="1.0" encoding="utf-8"?>
<ds:datastoreItem xmlns:ds="http://schemas.openxmlformats.org/officeDocument/2006/customXml" ds:itemID="{42882C4D-797C-4C0D-9D12-FA9E3D8A9715}">
  <ds:schemaRefs/>
</ds:datastoreItem>
</file>

<file path=customXml/itemProps7.xml><?xml version="1.0" encoding="utf-8"?>
<ds:datastoreItem xmlns:ds="http://schemas.openxmlformats.org/officeDocument/2006/customXml" ds:itemID="{356702E2-436E-4571-A42B-409E2677A002}">
  <ds:schemaRefs/>
</ds:datastoreItem>
</file>

<file path=customXml/itemProps8.xml><?xml version="1.0" encoding="utf-8"?>
<ds:datastoreItem xmlns:ds="http://schemas.openxmlformats.org/officeDocument/2006/customXml" ds:itemID="{E3DD9163-6913-4EF3-95EA-CB7D36757AA0}">
  <ds:schemaRefs/>
</ds:datastoreItem>
</file>

<file path=customXml/itemProps9.xml><?xml version="1.0" encoding="utf-8"?>
<ds:datastoreItem xmlns:ds="http://schemas.openxmlformats.org/officeDocument/2006/customXml" ds:itemID="{4EC6044E-38C2-4204-A543-2C5398D5D616}">
  <ds:schemaRefs/>
</ds:datastoreItem>
</file>

<file path=customXml/itemProps10.xml><?xml version="1.0" encoding="utf-8"?>
<ds:datastoreItem xmlns:ds="http://schemas.openxmlformats.org/officeDocument/2006/customXml" ds:itemID="{B3A17E8D-7FDA-447A-8AF4-BA35B2595A0A}">
  <ds:schemaRefs/>
</ds:datastoreItem>
</file>

<file path=customXml/itemProps11.xml><?xml version="1.0" encoding="utf-8"?>
<ds:datastoreItem xmlns:ds="http://schemas.openxmlformats.org/officeDocument/2006/customXml" ds:itemID="{40B6629A-382F-4B07-BADA-D45C8322A2A6}">
  <ds:schemaRefs/>
</ds:datastoreItem>
</file>

<file path=customXml/itemProps12.xml><?xml version="1.0" encoding="utf-8"?>
<ds:datastoreItem xmlns:ds="http://schemas.openxmlformats.org/officeDocument/2006/customXml" ds:itemID="{12AFB5A0-B8F0-4A72-8C3C-3B126E34DE17}">
  <ds:schemaRefs/>
</ds:datastoreItem>
</file>

<file path=customXml/itemProps13.xml><?xml version="1.0" encoding="utf-8"?>
<ds:datastoreItem xmlns:ds="http://schemas.openxmlformats.org/officeDocument/2006/customXml" ds:itemID="{5012AFC6-7222-4743-A599-4E9906961833}">
  <ds:schemaRefs/>
</ds:datastoreItem>
</file>

<file path=customXml/itemProps14.xml><?xml version="1.0" encoding="utf-8"?>
<ds:datastoreItem xmlns:ds="http://schemas.openxmlformats.org/officeDocument/2006/customXml" ds:itemID="{0E46118A-5AA8-4871-B80E-9DE52BE513DE}">
  <ds:schemaRefs/>
</ds:datastoreItem>
</file>

<file path=customXml/itemProps15.xml><?xml version="1.0" encoding="utf-8"?>
<ds:datastoreItem xmlns:ds="http://schemas.openxmlformats.org/officeDocument/2006/customXml" ds:itemID="{1584BD96-E741-4AFA-9EE4-A79272ACC68B}">
  <ds:schemaRefs/>
</ds:datastoreItem>
</file>

<file path=customXml/itemProps16.xml><?xml version="1.0" encoding="utf-8"?>
<ds:datastoreItem xmlns:ds="http://schemas.openxmlformats.org/officeDocument/2006/customXml" ds:itemID="{95607B7E-EB05-409A-A97C-4660D213B895}">
  <ds:schemaRefs/>
</ds:datastoreItem>
</file>

<file path=customXml/itemProps17.xml><?xml version="1.0" encoding="utf-8"?>
<ds:datastoreItem xmlns:ds="http://schemas.openxmlformats.org/officeDocument/2006/customXml" ds:itemID="{C7D0ED9C-85C6-4950-BCC3-AF94F2700B09}">
  <ds:schemaRefs/>
</ds:datastoreItem>
</file>

<file path=customXml/itemProps18.xml><?xml version="1.0" encoding="utf-8"?>
<ds:datastoreItem xmlns:ds="http://schemas.openxmlformats.org/officeDocument/2006/customXml" ds:itemID="{95FD9059-DD77-431E-8E7E-423B598130B0}">
  <ds:schemaRefs/>
</ds:datastoreItem>
</file>

<file path=customXml/itemProps19.xml><?xml version="1.0" encoding="utf-8"?>
<ds:datastoreItem xmlns:ds="http://schemas.openxmlformats.org/officeDocument/2006/customXml" ds:itemID="{FD669F90-0E71-4E29-BAA8-7DBD73D966D6}">
  <ds:schemaRefs/>
</ds:datastoreItem>
</file>

<file path=customXml/itemProps20.xml><?xml version="1.0" encoding="utf-8"?>
<ds:datastoreItem xmlns:ds="http://schemas.openxmlformats.org/officeDocument/2006/customXml" ds:itemID="{E4CBF72E-6C9C-4848-B9A3-3C68803E1B09}">
  <ds:schemaRefs/>
</ds:datastoreItem>
</file>

<file path=customXml/itemProps21.xml><?xml version="1.0" encoding="utf-8"?>
<ds:datastoreItem xmlns:ds="http://schemas.openxmlformats.org/officeDocument/2006/customXml" ds:itemID="{B4A270F6-B57A-4647-8AA3-58BE24711455}">
  <ds:schemaRefs/>
</ds:datastoreItem>
</file>

<file path=customXml/itemProps22.xml><?xml version="1.0" encoding="utf-8"?>
<ds:datastoreItem xmlns:ds="http://schemas.openxmlformats.org/officeDocument/2006/customXml" ds:itemID="{B69064BE-EBBE-4C69-B2C1-3AD7A1120C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pengadaan barang</vt:lpstr>
      <vt:lpstr>penjualan barang</vt:lpstr>
      <vt:lpstr>Master Barang</vt:lpstr>
      <vt:lpstr>Master Pembeli</vt:lpstr>
      <vt:lpstr>Master Calendar</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Dhika Ramadhan Saputra</dc:creator>
  <cp:lastModifiedBy>Dhika Ramadhan Saputra</cp:lastModifiedBy>
  <dcterms:created xsi:type="dcterms:W3CDTF">2026-07-18T07:33:56Z</dcterms:created>
  <dcterms:modified xsi:type="dcterms:W3CDTF">2026-08-22T02:18:30Z</dcterms:modified>
</cp:coreProperties>
</file>